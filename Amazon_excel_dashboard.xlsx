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69964062-6126-4126-801C-413E499C6B8E}" xr6:coauthVersionLast="47" xr6:coauthVersionMax="47" xr10:uidLastSave="{00000000-0000-0000-0000-000000000000}"/>
  <workbookProtection workbookAlgorithmName="SHA-512" workbookHashValue="tPhy5p60HPNPQj0rX3KxIQj8b4WPY9/aq7r3WwYVSHqZ8uZ6q8yFeHDghs03hB5dQ92JdO0JhCUKqe+Xz0mubg==" workbookSaltValue="i/VOdyMLiKw1GW7Pib0agg==" workbookSpinCount="100000" lockStructure="1"/>
  <bookViews>
    <workbookView xWindow="-120" yWindow="-120" windowWidth="20730" windowHeight="11160" activeTab="1" xr2:uid="{2C678AF7-E810-46AF-AA60-B60634E761E7}"/>
  </bookViews>
  <sheets>
    <sheet name="overview" sheetId="1" r:id="rId1"/>
    <sheet name="Insights" sheetId="12" r:id="rId2"/>
    <sheet name="kpis" sheetId="7" state="hidden" r:id="rId3"/>
    <sheet name="charts" sheetId="11" state="hidden" r:id="rId4"/>
    <sheet name="dataset" sheetId="6" r:id="rId5"/>
  </sheets>
  <definedNames>
    <definedName name="_xlcn.WorksheetConnection_amazon_excel.xlsxamazon_final__41" hidden="1">amazon_final__4[]</definedName>
    <definedName name="ExternalData_1" localSheetId="4" hidden="1">dataset!$A$1:$I$1152</definedName>
    <definedName name="Slicer_price_range">#N/A</definedName>
  </definedNames>
  <calcPr calcId="181029"/>
  <pivotCaches>
    <pivotCache cacheId="3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final__4" name="amazon_final__4" connection="WorksheetConnection_amazon_excel.xlsx!amazon_final__4"/>
        </x15:modelTables>
      </x15:dataModel>
    </ext>
  </extLst>
</workbook>
</file>

<file path=xl/calcChain.xml><?xml version="1.0" encoding="utf-8"?>
<calcChain xmlns="http://schemas.openxmlformats.org/spreadsheetml/2006/main">
  <c r="H7" i="7" l="1"/>
  <c r="O4" i="7"/>
  <c r="O5" i="7" l="1"/>
  <c r="B3" i="7" l="1"/>
  <c r="F5" i="7"/>
  <c r="D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E8AF4-1E76-4764-BC90-00749AD6BBEC}" keepAlive="1" name="Query - amazon_final" description="Connection to the 'amazon_final' query in the workbook." type="5" refreshedVersion="8" background="1" saveData="1">
    <dbPr connection="Provider=Microsoft.Mashup.OleDb.1;Data Source=$Workbook$;Location=amazon_final;Extended Properties=&quot;&quot;" command="SELECT * FROM [amazon_final]"/>
  </connection>
  <connection id="2" xr16:uid="{28553158-694B-4E34-BF21-7C92C232AE72}" keepAlive="1" name="Query - amazon_final (2)" description="Connection to the 'amazon_final (2)' query in the workbook." type="5" refreshedVersion="8" background="1" saveData="1">
    <dbPr connection="Provider=Microsoft.Mashup.OleDb.1;Data Source=$Workbook$;Location=&quot;amazon_final (2)&quot;;Extended Properties=&quot;&quot;" command="SELECT * FROM [amazon_final (2)]"/>
  </connection>
  <connection id="3" xr16:uid="{BF3C04B0-295C-44C1-AF19-B8910AFDDDA8}" keepAlive="1" name="Query - amazon_final (3)" description="Connection to the 'amazon_final (3)' query in the workbook." type="5" refreshedVersion="8" background="1" saveData="1">
    <dbPr connection="Provider=Microsoft.Mashup.OleDb.1;Data Source=$Workbook$;Location=&quot;amazon_final (3)&quot;;Extended Properties=&quot;&quot;" command="SELECT * FROM [amazon_final (3)]"/>
  </connection>
  <connection id="4" xr16:uid="{622C0D8E-F8B9-4880-9BD3-B657DD727C54}" keepAlive="1" name="Query - amazon_final (4)" description="Connection to the 'amazon_final (4)' query in the workbook." type="5" refreshedVersion="8" background="1" saveData="1">
    <dbPr connection="Provider=Microsoft.Mashup.OleDb.1;Data Source=$Workbook$;Location=&quot;amazon_final (4)&quot;;Extended Properties=&quot;&quot;" command="SELECT * FROM [amazon_final (4)]"/>
  </connection>
  <connection id="5" xr16:uid="{2475C334-7E69-4F6A-87F6-BBB8CA6840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0CF57D4-CF13-499E-B4E1-1D5DF0A6EEE0}" name="WorksheetConnection_amazon_excel.xlsx!amazon_final__4" type="102" refreshedVersion="8" minRefreshableVersion="5">
    <extLst>
      <ext xmlns:x15="http://schemas.microsoft.com/office/spreadsheetml/2010/11/main" uri="{DE250136-89BD-433C-8126-D09CA5730AF9}">
        <x15:connection id="amazon_final__4">
          <x15:rangePr sourceName="_xlcn.WorksheetConnection_amazon_excel.xlsxamazon_final__41"/>
        </x15:connection>
      </ext>
    </extLst>
  </connection>
</connections>
</file>

<file path=xl/sharedStrings.xml><?xml version="1.0" encoding="utf-8"?>
<sst xmlns="http://schemas.openxmlformats.org/spreadsheetml/2006/main" count="5843" uniqueCount="2341">
  <si>
    <t>product_id</t>
  </si>
  <si>
    <t>product_name</t>
  </si>
  <si>
    <t>category</t>
  </si>
  <si>
    <t>discounted_price</t>
  </si>
  <si>
    <t>actual_price</t>
  </si>
  <si>
    <t>discount</t>
  </si>
  <si>
    <t>rating</t>
  </si>
  <si>
    <t>rating_count</t>
  </si>
  <si>
    <t>B008IFXQFU</t>
  </si>
  <si>
    <t>Computers&amp;Accessories</t>
  </si>
  <si>
    <t>Electronics</t>
  </si>
  <si>
    <t>B0B1YVCJ2Y</t>
  </si>
  <si>
    <t>B08B42LWKN</t>
  </si>
  <si>
    <t>B0B3MMYHYW</t>
  </si>
  <si>
    <t>B09JPC82QC</t>
  </si>
  <si>
    <t>B07JW1Y6XV</t>
  </si>
  <si>
    <t>B09NJN8L25</t>
  </si>
  <si>
    <t>B014I8SSD0</t>
  </si>
  <si>
    <t>B09L8DSSFH</t>
  </si>
  <si>
    <t>B0711PVX6Z</t>
  </si>
  <si>
    <t>B07MKFNHKG</t>
  </si>
  <si>
    <t>B01N90RZ4M</t>
  </si>
  <si>
    <t>Tata Sky Universal Remote</t>
  </si>
  <si>
    <t>B0088TKTY2</t>
  </si>
  <si>
    <t>B07B275VN9</t>
  </si>
  <si>
    <t>B07966M8XH</t>
  </si>
  <si>
    <t>B09RFC46VP</t>
  </si>
  <si>
    <t>B07LGT55SJ</t>
  </si>
  <si>
    <t>B09NKZXMWJ</t>
  </si>
  <si>
    <t>B08QX1CC14</t>
  </si>
  <si>
    <t>B0B1YZX72F</t>
  </si>
  <si>
    <t>B092BJMT8Q</t>
  </si>
  <si>
    <t>B07JH1C41D</t>
  </si>
  <si>
    <t>B09Q5P2MT3</t>
  </si>
  <si>
    <t>B08HDH26JX</t>
  </si>
  <si>
    <t>B09VT6JKRP</t>
  </si>
  <si>
    <t>B09T3KB6JZ</t>
  </si>
  <si>
    <t>B093QCY6YJ</t>
  </si>
  <si>
    <t>B093ZNQZ2Y</t>
  </si>
  <si>
    <t>B08LKS3LSP</t>
  </si>
  <si>
    <t>B00V4BGDKU</t>
  </si>
  <si>
    <t>B08CHKQ8D4</t>
  </si>
  <si>
    <t>B09BW334ML</t>
  </si>
  <si>
    <t>B082T6GVLJ</t>
  </si>
  <si>
    <t>B07DL1KC3H</t>
  </si>
  <si>
    <t>B07JNVF678</t>
  </si>
  <si>
    <t>B07JGDB5M1</t>
  </si>
  <si>
    <t>B0981XSZJ7</t>
  </si>
  <si>
    <t>B0B9XLX8VR</t>
  </si>
  <si>
    <t>B08Y5KXR6Z</t>
  </si>
  <si>
    <t>B09F6VHQXB</t>
  </si>
  <si>
    <t>B0974G5Q2Y</t>
  </si>
  <si>
    <t>B09YL9SN9B</t>
  </si>
  <si>
    <t>B09RX1FK54</t>
  </si>
  <si>
    <t>B09TT6BFDX</t>
  </si>
  <si>
    <t>B09KH58JZR</t>
  </si>
  <si>
    <t>B09DDCQFMT</t>
  </si>
  <si>
    <t>B08RP2L2NL</t>
  </si>
  <si>
    <t>B0B4G2MWSB</t>
  </si>
  <si>
    <t>B0B21C4BMX</t>
  </si>
  <si>
    <t>B0BHZCNC4P</t>
  </si>
  <si>
    <t>B099K9ZX65</t>
  </si>
  <si>
    <t>B08Y55LPBF</t>
  </si>
  <si>
    <t>B015OW3M1W</t>
  </si>
  <si>
    <t>B01D5H8ZI8</t>
  </si>
  <si>
    <t>B09X1M3DHX</t>
  </si>
  <si>
    <t>B09MM6P76N</t>
  </si>
  <si>
    <t>B01D5H8LDM</t>
  </si>
  <si>
    <t>B0B1YY6JJL</t>
  </si>
  <si>
    <t>B08L4SBJRY</t>
  </si>
  <si>
    <t>B09X79PP8F</t>
  </si>
  <si>
    <t>B082T6GVG9</t>
  </si>
  <si>
    <t>B0B3XY5YT4</t>
  </si>
  <si>
    <t>B0B4HKH19N</t>
  </si>
  <si>
    <t>B08TGG316Z</t>
  </si>
  <si>
    <t>B071VMP1Z4</t>
  </si>
  <si>
    <t>B071SDRGWL</t>
  </si>
  <si>
    <t>B08PSQRW2T</t>
  </si>
  <si>
    <t>B0859M539M</t>
  </si>
  <si>
    <t>B08RX8G496</t>
  </si>
  <si>
    <t>B002SZEOLG</t>
  </si>
  <si>
    <t>B00RFWNJMC</t>
  </si>
  <si>
    <t>B082T6GXS5</t>
  </si>
  <si>
    <t>B09CMQRQM6</t>
  </si>
  <si>
    <t>B005LJQMCK</t>
  </si>
  <si>
    <t>B09C6H53KH</t>
  </si>
  <si>
    <t>B0BB3CBFBM</t>
  </si>
  <si>
    <t>B08QSDKFGQ</t>
  </si>
  <si>
    <t>B08PV1X771</t>
  </si>
  <si>
    <t>B07YTNKVJQ</t>
  </si>
  <si>
    <t>B0117H7GZ6</t>
  </si>
  <si>
    <t>B09XJ1LM7R</t>
  </si>
  <si>
    <t>B088Z1YWBC</t>
  </si>
  <si>
    <t>B07VSG5SXZ</t>
  </si>
  <si>
    <t>B08RWCZ6SY</t>
  </si>
  <si>
    <t>B07KSB1MLX</t>
  </si>
  <si>
    <t>B081FG1QYX</t>
  </si>
  <si>
    <t>B08R69WBN7</t>
  </si>
  <si>
    <t>B0B3RHX6B6</t>
  </si>
  <si>
    <t>B081NHWT6Z</t>
  </si>
  <si>
    <t>B07JPJJZ2H</t>
  </si>
  <si>
    <t>B09PNR6F8Q</t>
  </si>
  <si>
    <t>B07M69276N</t>
  </si>
  <si>
    <t>B0B1YZ9CB8</t>
  </si>
  <si>
    <t>B08CTNJ985</t>
  </si>
  <si>
    <t>B0BP7XLX48</t>
  </si>
  <si>
    <t>B09LHXNZLR</t>
  </si>
  <si>
    <t>B0B3N8VG24</t>
  </si>
  <si>
    <t>B08PSVBB2X</t>
  </si>
  <si>
    <t>B0B3MQXNFB</t>
  </si>
  <si>
    <t>B08XMSKKMM</t>
  </si>
  <si>
    <t>B09L8DT7D6</t>
  </si>
  <si>
    <t>B00GE55L22</t>
  </si>
  <si>
    <t>B0162K34H2</t>
  </si>
  <si>
    <t>B0B8SRZ5SV</t>
  </si>
  <si>
    <t>B00NH12R1O</t>
  </si>
  <si>
    <t>B08WKG2MWT</t>
  </si>
  <si>
    <t>B0B466C3G4</t>
  </si>
  <si>
    <t>B07MDRGHWQ</t>
  </si>
  <si>
    <t>B07DC4RZPY</t>
  </si>
  <si>
    <t>B08GJNM9N7</t>
  </si>
  <si>
    <t>B09C6FML9B</t>
  </si>
  <si>
    <t>B0B65MJ45G</t>
  </si>
  <si>
    <t>B08P9RYPLR</t>
  </si>
  <si>
    <t>B084MZXJN6</t>
  </si>
  <si>
    <t>B08XMG618K</t>
  </si>
  <si>
    <t>B0BCKWZ884</t>
  </si>
  <si>
    <t>B00GGGOYEK</t>
  </si>
  <si>
    <t>B07ZR4S1G4</t>
  </si>
  <si>
    <t>B09C635BMM</t>
  </si>
  <si>
    <t>B00GG59HU2</t>
  </si>
  <si>
    <t>B00RGLI0ZS</t>
  </si>
  <si>
    <t>B09ZPJT8B2</t>
  </si>
  <si>
    <t>B07HZ2QCGR</t>
  </si>
  <si>
    <t>B095244Q22</t>
  </si>
  <si>
    <t>B08CKW1KH9</t>
  </si>
  <si>
    <t>B0BLV1GNLN</t>
  </si>
  <si>
    <t>B08RHPDNVV</t>
  </si>
  <si>
    <t>B00NH13Q8W</t>
  </si>
  <si>
    <t>B0B8SSZ76F</t>
  </si>
  <si>
    <t>B0841KQR1Z</t>
  </si>
  <si>
    <t>B095JQVC7N</t>
  </si>
  <si>
    <t>B08PPHFXG3</t>
  </si>
  <si>
    <t>B06XR9PR5X</t>
  </si>
  <si>
    <t>Amazon Basics HDMI Coupler,Black</t>
  </si>
  <si>
    <t>B09JSW16QD</t>
  </si>
  <si>
    <t>B07JH1CBGW</t>
  </si>
  <si>
    <t>B09127FZCK</t>
  </si>
  <si>
    <t>B09Q8WQ5QJ</t>
  </si>
  <si>
    <t>B07YZG8PPY</t>
  </si>
  <si>
    <t>B09H39KTTB</t>
  </si>
  <si>
    <t>B08DCVRW98</t>
  </si>
  <si>
    <t>B0718ZN31Q</t>
  </si>
  <si>
    <t>B07PFJ5VQD</t>
  </si>
  <si>
    <t>B01J8S6X2I</t>
  </si>
  <si>
    <t>B09NNGHG22</t>
  </si>
  <si>
    <t>B07V5YF4ND</t>
  </si>
  <si>
    <t>B084MZYBTV</t>
  </si>
  <si>
    <t>B097ZQTDVZ</t>
  </si>
  <si>
    <t>B0B5F3YZY4</t>
  </si>
  <si>
    <t>B09G5TSGXV</t>
  </si>
  <si>
    <t>B006LW0WDQ</t>
  </si>
  <si>
    <t>B09YLX91QR</t>
  </si>
  <si>
    <t>B081FJWN52</t>
  </si>
  <si>
    <t>B0758F7KK7</t>
  </si>
  <si>
    <t>B098TV3L96</t>
  </si>
  <si>
    <t>B08NCKT9FG</t>
  </si>
  <si>
    <t>B0B4T6MR8N</t>
  </si>
  <si>
    <t>B01GGKZ4NU</t>
  </si>
  <si>
    <t>B09BW2GP18</t>
  </si>
  <si>
    <t>B09WN3SRC7</t>
  </si>
  <si>
    <t>B09B125CFJ</t>
  </si>
  <si>
    <t>B09RQRZW2X</t>
  </si>
  <si>
    <t>B07924P3C5</t>
  </si>
  <si>
    <t>B08N1WL9XW</t>
  </si>
  <si>
    <t>B07VVXJ2P5</t>
  </si>
  <si>
    <t>B0BC8BQ432</t>
  </si>
  <si>
    <t>B06XFTHCNY</t>
  </si>
  <si>
    <t>B08CT62BM1</t>
  </si>
  <si>
    <t>B07CRL2GY6</t>
  </si>
  <si>
    <t>B01D5H90L4</t>
  </si>
  <si>
    <t>B07F1P8KNV</t>
  </si>
  <si>
    <t>B09F6D21BY</t>
  </si>
  <si>
    <t>B09LQQYNZQ</t>
  </si>
  <si>
    <t>Realme Smart TV Stick 4K</t>
  </si>
  <si>
    <t>B0BC9BW512</t>
  </si>
  <si>
    <t>B0B61HYR92</t>
  </si>
  <si>
    <t>B075ZTJ9XR</t>
  </si>
  <si>
    <t>B0978V2CP6</t>
  </si>
  <si>
    <t>B09LRZYBH1</t>
  </si>
  <si>
    <t>B098LCVYPW</t>
  </si>
  <si>
    <t>B075TJHWVC</t>
  </si>
  <si>
    <t>B09LV13JFB</t>
  </si>
  <si>
    <t>B092BL5DCX</t>
  </si>
  <si>
    <t>B09VH568H7</t>
  </si>
  <si>
    <t>B09HQSV46W</t>
  </si>
  <si>
    <t>B08TZD7FQN</t>
  </si>
  <si>
    <t>B0B21XL94T</t>
  </si>
  <si>
    <t>B09PTT8DZF</t>
  </si>
  <si>
    <t>B0B94JPY2N</t>
  </si>
  <si>
    <t>B0B3XXSB1K</t>
  </si>
  <si>
    <t>B08RZ12GKR</t>
  </si>
  <si>
    <t>B0B7B9V9QP</t>
  </si>
  <si>
    <t>B08XXVXP3J</t>
  </si>
  <si>
    <t>B06XGWRKYT</t>
  </si>
  <si>
    <t>B07CWDX49D</t>
  </si>
  <si>
    <t>B09TY4MSH3</t>
  </si>
  <si>
    <t>Firestick Remote</t>
  </si>
  <si>
    <t>B07RY2X9MP</t>
  </si>
  <si>
    <t>B0B2C5MJN6</t>
  </si>
  <si>
    <t>B0BBMGLQDW</t>
  </si>
  <si>
    <t>B01LONQBDG</t>
  </si>
  <si>
    <t>B08XXF5V6G</t>
  </si>
  <si>
    <t>B09HK9JH4F</t>
  </si>
  <si>
    <t>B09MMD1FDN</t>
  </si>
  <si>
    <t>B09HN7LD5L</t>
  </si>
  <si>
    <t>B0BNDD9TN6</t>
  </si>
  <si>
    <t>B0941392C8</t>
  </si>
  <si>
    <t>B01M5967SY</t>
  </si>
  <si>
    <t>B016MDK4F4</t>
  </si>
  <si>
    <t>B08G43CCLC</t>
  </si>
  <si>
    <t>B0B61GCHC1</t>
  </si>
  <si>
    <t>B07RX14W1Q</t>
  </si>
  <si>
    <t>B09PLD9TCD</t>
  </si>
  <si>
    <t>B0B8ZKWGKD</t>
  </si>
  <si>
    <t>B09NNJ9WYM</t>
  </si>
  <si>
    <t>B08H5L8V1L</t>
  </si>
  <si>
    <t>B09HCH3JZG</t>
  </si>
  <si>
    <t>B097JVLW3L</t>
  </si>
  <si>
    <t>B09SB6SJB4</t>
  </si>
  <si>
    <t>B08NW8GHCJ</t>
  </si>
  <si>
    <t>B09YHLPQYT</t>
  </si>
  <si>
    <t>B08G1RW2Q3</t>
  </si>
  <si>
    <t>B08YXJJW8H</t>
  </si>
  <si>
    <t>B09P8M18QM</t>
  </si>
  <si>
    <t>B08BG4M4N7</t>
  </si>
  <si>
    <t>B07VJ9ZTXS</t>
  </si>
  <si>
    <t>B084872DQY</t>
  </si>
  <si>
    <t>B08FD2VSD9</t>
  </si>
  <si>
    <t>B0BQRJ3C47</t>
  </si>
  <si>
    <t>B095JPKPH3</t>
  </si>
  <si>
    <t>B087JWLZ2K</t>
  </si>
  <si>
    <t>B08V9C4B1J</t>
  </si>
  <si>
    <t>B08PKBMJKS</t>
  </si>
  <si>
    <t>B086JTMRYL</t>
  </si>
  <si>
    <t>B09RWQ7YR6</t>
  </si>
  <si>
    <t>B00OFM6PEO</t>
  </si>
  <si>
    <t>B08HV83HL3</t>
  </si>
  <si>
    <t>B0BBN4DZBD</t>
  </si>
  <si>
    <t>B0B3CPQ5PF</t>
  </si>
  <si>
    <t>B0B3CQBRB4</t>
  </si>
  <si>
    <t>B0BBN56J5H</t>
  </si>
  <si>
    <t>B0BBN3WF7V</t>
  </si>
  <si>
    <t>B0BMGB3CH9</t>
  </si>
  <si>
    <t>B08D77XZX5</t>
  </si>
  <si>
    <t>B09XB8GFBQ</t>
  </si>
  <si>
    <t>B07GPXXNNG</t>
  </si>
  <si>
    <t>B0BDYVC5TD</t>
  </si>
  <si>
    <t>B0BMGB2TPR</t>
  </si>
  <si>
    <t>B08MC57J31</t>
  </si>
  <si>
    <t>B08HVL8QN3</t>
  </si>
  <si>
    <t>B0746JGVDS</t>
  </si>
  <si>
    <t>B08VFF6JQ8</t>
  </si>
  <si>
    <t>B09TWHTBKQ</t>
  </si>
  <si>
    <t>B09TWH8YHM</t>
  </si>
  <si>
    <t>B07WGMMQGP</t>
  </si>
  <si>
    <t>B09GFPVD9Y</t>
  </si>
  <si>
    <t>B09GFLXVH9</t>
  </si>
  <si>
    <t>B0BF4YBLPX</t>
  </si>
  <si>
    <t>B09XB7DPW1</t>
  </si>
  <si>
    <t>B07PFJ5W31</t>
  </si>
  <si>
    <t>B09XB7SRQ5</t>
  </si>
  <si>
    <t>B09FFK1PQG</t>
  </si>
  <si>
    <t>B09RMQYHLH</t>
  </si>
  <si>
    <t>B08ZN4B121</t>
  </si>
  <si>
    <t>B08VB34KJ1</t>
  </si>
  <si>
    <t>B08VF8V79P</t>
  </si>
  <si>
    <t>B08G28Z33M</t>
  </si>
  <si>
    <t>B07WDKLDRX</t>
  </si>
  <si>
    <t>B08VS3YLRK</t>
  </si>
  <si>
    <t>B07WDKLRM4</t>
  </si>
  <si>
    <t>B0BP18W8TM</t>
  </si>
  <si>
    <t>B07GXHC691</t>
  </si>
  <si>
    <t>B08FN6WGDQ</t>
  </si>
  <si>
    <t>B08D75R3Z1</t>
  </si>
  <si>
    <t>B0B4F2TTTS</t>
  </si>
  <si>
    <t>B09WRMNJ9G</t>
  </si>
  <si>
    <t>B09ZPL5VYM</t>
  </si>
  <si>
    <t>B0993BB11X</t>
  </si>
  <si>
    <t>B09V2PZDX8</t>
  </si>
  <si>
    <t>B085W8CFLH</t>
  </si>
  <si>
    <t>B09MT6XSFW</t>
  </si>
  <si>
    <t>B0B4F52B5X</t>
  </si>
  <si>
    <t>B09XBJ1CTN</t>
  </si>
  <si>
    <t>B09QS8V5N8</t>
  </si>
  <si>
    <t>B089WB69Y1</t>
  </si>
  <si>
    <t>B0116MIKKC</t>
  </si>
  <si>
    <t>B09P858DK8</t>
  </si>
  <si>
    <t>B07WDK3ZS6</t>
  </si>
  <si>
    <t>B09T2S8X9C</t>
  </si>
  <si>
    <t>B07S9S86BF</t>
  </si>
  <si>
    <t>B07N8RQ6W7</t>
  </si>
  <si>
    <t>B09FKDH6FS</t>
  </si>
  <si>
    <t>B08HVJCW95</t>
  </si>
  <si>
    <t>B09YDFDVNS</t>
  </si>
  <si>
    <t>B0B4F2ZWL3</t>
  </si>
  <si>
    <t>B08VB2CMR3</t>
  </si>
  <si>
    <t>B095RTJH1M</t>
  </si>
  <si>
    <t>B07WDK3ZS2</t>
  </si>
  <si>
    <t>B08RZ5K9YH</t>
  </si>
  <si>
    <t>B08444S68L</t>
  </si>
  <si>
    <t>B09JS562TP</t>
  </si>
  <si>
    <t>B0971DWFDT</t>
  </si>
  <si>
    <t>B0BNV7JM5Y</t>
  </si>
  <si>
    <t>B07WJWRNVK</t>
  </si>
  <si>
    <t>B01F25X6RQ</t>
  </si>
  <si>
    <t>B092JHPL72</t>
  </si>
  <si>
    <t>B09GFM8CGS</t>
  </si>
  <si>
    <t>B09J2MM5C6</t>
  </si>
  <si>
    <t>B07Q4QV1DL</t>
  </si>
  <si>
    <t>B0B56YRBNT</t>
  </si>
  <si>
    <t>B01DF26V7A</t>
  </si>
  <si>
    <t>B0B4F1YC3J</t>
  </si>
  <si>
    <t>B08K4RDQ71</t>
  </si>
  <si>
    <t>B085CZ3SR1</t>
  </si>
  <si>
    <t>B0BGSV43WY</t>
  </si>
  <si>
    <t>B0926V9CTV</t>
  </si>
  <si>
    <t>B0BBFJ9M3X</t>
  </si>
  <si>
    <t>B0B53NXFFR</t>
  </si>
  <si>
    <t>B07GNC2592</t>
  </si>
  <si>
    <t>B09TP5KBN7</t>
  </si>
  <si>
    <t>B09V175NP7</t>
  </si>
  <si>
    <t>B0BD3T6Z1D</t>
  </si>
  <si>
    <t>B09LHYZ3GJ</t>
  </si>
  <si>
    <t>B0B6BLTGTT</t>
  </si>
  <si>
    <t>B084DTMYWK</t>
  </si>
  <si>
    <t>B09LJ116B5</t>
  </si>
  <si>
    <t>B0BMVWKZ8G</t>
  </si>
  <si>
    <t>B0B5GF6DQD</t>
  </si>
  <si>
    <t>B0B8CHJLWJ</t>
  </si>
  <si>
    <t>B0B8ZWNR5T</t>
  </si>
  <si>
    <t>B0BBFJLP21</t>
  </si>
  <si>
    <t>B01F262EUU</t>
  </si>
  <si>
    <t>B09VZBGL1N</t>
  </si>
  <si>
    <t>B0B2DJ5RVQ</t>
  </si>
  <si>
    <t>B096TWZRJC</t>
  </si>
  <si>
    <t>B09GP6FBZT</t>
  </si>
  <si>
    <t>B0B3DV7S9B</t>
  </si>
  <si>
    <t>B09MKP344P</t>
  </si>
  <si>
    <t>B08JW1GVS7</t>
  </si>
  <si>
    <t>B09LHZSMRR</t>
  </si>
  <si>
    <t>B0B5V47VK4</t>
  </si>
  <si>
    <t>B08H21B6V7</t>
  </si>
  <si>
    <t>Nokia 150 (2020) (Cyan)</t>
  </si>
  <si>
    <t>B09BNXQ6BR</t>
  </si>
  <si>
    <t>B08L5FM4JC</t>
  </si>
  <si>
    <t>B0B54Y2SNX</t>
  </si>
  <si>
    <t>B0B7DHSKS7</t>
  </si>
  <si>
    <t>B09SJ1FTYV</t>
  </si>
  <si>
    <t>B09XJ5LD6L</t>
  </si>
  <si>
    <t>B07WHS7MZ1</t>
  </si>
  <si>
    <t>B0BBVKRP7B</t>
  </si>
  <si>
    <t>B09NY7W8YD</t>
  </si>
  <si>
    <t>B0BMM7R92G</t>
  </si>
  <si>
    <t>B08M66K48D</t>
  </si>
  <si>
    <t>B09RFB2SJQ</t>
  </si>
  <si>
    <t>B0B82YGCF6</t>
  </si>
  <si>
    <t>B08HF4W2CT</t>
  </si>
  <si>
    <t>B0B2X35B1K</t>
  </si>
  <si>
    <t>B09QS9CWLV</t>
  </si>
  <si>
    <t>B0B1NX6JTN</t>
  </si>
  <si>
    <t>B0BBW521YC</t>
  </si>
  <si>
    <t>B09HSKYMB3</t>
  </si>
  <si>
    <t>B09YV42QHZ</t>
  </si>
  <si>
    <t>B0B5YBGCKD</t>
  </si>
  <si>
    <t>B09T37CKQ5</t>
  </si>
  <si>
    <t>B0B298D54H</t>
  </si>
  <si>
    <t>B08VB57558</t>
  </si>
  <si>
    <t>B09NY6TRXG</t>
  </si>
  <si>
    <t>B09NVPJ3P4</t>
  </si>
  <si>
    <t>B09VGKFM7Y</t>
  </si>
  <si>
    <t>B07QCWY5XV</t>
  </si>
  <si>
    <t>B098QXR9X2</t>
  </si>
  <si>
    <t>B07H1S7XW8</t>
  </si>
  <si>
    <t>B0BNXFDTZ2</t>
  </si>
  <si>
    <t>B088ZFJY82</t>
  </si>
  <si>
    <t>B0B4F4QZ1H</t>
  </si>
  <si>
    <t>B09BCNQ9R2</t>
  </si>
  <si>
    <t>B071Z8M4KX</t>
  </si>
  <si>
    <t>B09N3ZNHTY</t>
  </si>
  <si>
    <t>B005FYNT3G</t>
  </si>
  <si>
    <t>B01J0XWYKQ</t>
  </si>
  <si>
    <t>B09CTRPSJR</t>
  </si>
  <si>
    <t>B08JQN8DGZ</t>
  </si>
  <si>
    <t>B0B72BSW7K</t>
  </si>
  <si>
    <t>B08TV2P1N8</t>
  </si>
  <si>
    <t>B07XCM6T4N</t>
  </si>
  <si>
    <t>B07T5DKR5D</t>
  </si>
  <si>
    <t>B07PR1CL3S</t>
  </si>
  <si>
    <t>B07JQKQ91F</t>
  </si>
  <si>
    <t>B08W56G1K9</t>
  </si>
  <si>
    <t>B01L8ZNWN2</t>
  </si>
  <si>
    <t>B009VCGPSY</t>
  </si>
  <si>
    <t>B0B296NTFV</t>
  </si>
  <si>
    <t>B07TCN5VR9</t>
  </si>
  <si>
    <t>B00ZYLMQH0</t>
  </si>
  <si>
    <t>B01HJI0FS2</t>
  </si>
  <si>
    <t>B076B8G5D8</t>
  </si>
  <si>
    <t>MusicalInstruments</t>
  </si>
  <si>
    <t>B014SZO90Y</t>
  </si>
  <si>
    <t>B07KCMR8D6</t>
  </si>
  <si>
    <t>OfficeProducts</t>
  </si>
  <si>
    <t>B00N1U9AJS</t>
  </si>
  <si>
    <t>Home&amp;Kitchen</t>
  </si>
  <si>
    <t>B07KY3FNQP</t>
  </si>
  <si>
    <t>B07QZ3CZ48</t>
  </si>
  <si>
    <t>B09T3H12GV</t>
  </si>
  <si>
    <t>B08ZJDWTJ1</t>
  </si>
  <si>
    <t>B08FTFXNNB</t>
  </si>
  <si>
    <t>B08YDFX7Y1</t>
  </si>
  <si>
    <t>B087FXHB6J</t>
  </si>
  <si>
    <t>B07N42JB4S</t>
  </si>
  <si>
    <t>B0B31BYXQQ</t>
  </si>
  <si>
    <t>B07SLMR1K6</t>
  </si>
  <si>
    <t>B092X94QNQ</t>
  </si>
  <si>
    <t>B0846D5CBP</t>
  </si>
  <si>
    <t>B00KXULGJQ</t>
  </si>
  <si>
    <t>B08LPJZSSW</t>
  </si>
  <si>
    <t>B08CYPB15D</t>
  </si>
  <si>
    <t>B00MFPCY5C</t>
  </si>
  <si>
    <t>B07JJFSG2B</t>
  </si>
  <si>
    <t>B09NR6G588</t>
  </si>
  <si>
    <t>B07JPX9CR7</t>
  </si>
  <si>
    <t>B08D11DZ2W</t>
  </si>
  <si>
    <t>B07Q7561HD</t>
  </si>
  <si>
    <t>B0819HZPXL</t>
  </si>
  <si>
    <t>B00LXTFMRS</t>
  </si>
  <si>
    <t>B0B9LDCX89</t>
  </si>
  <si>
    <t>B0765B3TH7</t>
  </si>
  <si>
    <t>B0B1F6GQPS</t>
  </si>
  <si>
    <t>B07LG59NPV</t>
  </si>
  <si>
    <t>B00AXHBBXU</t>
  </si>
  <si>
    <t>B08MCD9JFY</t>
  </si>
  <si>
    <t>B083RCTXLL</t>
  </si>
  <si>
    <t>B08HLZ28QC</t>
  </si>
  <si>
    <t>B07GVR9TG7</t>
  </si>
  <si>
    <t>B0856HY85J</t>
  </si>
  <si>
    <t>B07CD2BN46</t>
  </si>
  <si>
    <t>B07PLHTTB4</t>
  </si>
  <si>
    <t>B077T3BG5L</t>
  </si>
  <si>
    <t>B079Y6JZC8</t>
  </si>
  <si>
    <t>B0856HNMR7</t>
  </si>
  <si>
    <t>B0B12K5BPM</t>
  </si>
  <si>
    <t>B00LVMTA2A</t>
  </si>
  <si>
    <t>B07TR5HSR9</t>
  </si>
  <si>
    <t>B0819ZZK5K</t>
  </si>
  <si>
    <t>B08QJJCY2Q</t>
  </si>
  <si>
    <t>B07L5L4GTB</t>
  </si>
  <si>
    <t>B07L8KNP5F</t>
  </si>
  <si>
    <t>B08CF4SCNP</t>
  </si>
  <si>
    <t>B09XX51X2G</t>
  </si>
  <si>
    <t>B01M72LILF</t>
  </si>
  <si>
    <t>B00LZLQ624</t>
  </si>
  <si>
    <t>B09GB5B4BK</t>
  </si>
  <si>
    <t>B015ZXUDD0</t>
  </si>
  <si>
    <t>B09PL79D2X</t>
  </si>
  <si>
    <t>B098K3H92Z</t>
  </si>
  <si>
    <t>B084PJSSQ1</t>
  </si>
  <si>
    <t>B097C564GC</t>
  </si>
  <si>
    <t>B08CYNJ5KY</t>
  </si>
  <si>
    <t>B00Y4ORQ46</t>
  </si>
  <si>
    <t>B074CWD7MS</t>
  </si>
  <si>
    <t>B00A0VCJPI</t>
  </si>
  <si>
    <t>B00UGZWM2I</t>
  </si>
  <si>
    <t>B00R1P3B4O</t>
  </si>
  <si>
    <t>B09DG9VNWB</t>
  </si>
  <si>
    <t>B09Y5MP7C4</t>
  </si>
  <si>
    <t>B01DJJVFPC</t>
  </si>
  <si>
    <t>B07DFYJRQV</t>
  </si>
  <si>
    <t>B08L879JSN</t>
  </si>
  <si>
    <t>B06XSK3XL6</t>
  </si>
  <si>
    <t>B07YNTJ8ZM</t>
  </si>
  <si>
    <t>B07KR5P3YD</t>
  </si>
  <si>
    <t>B08FB2LNSZ</t>
  </si>
  <si>
    <t>B01IBRHE3E</t>
  </si>
  <si>
    <t>B01N6LU1VF</t>
  </si>
  <si>
    <t>B07XLML2YS</t>
  </si>
  <si>
    <t>B086WMSCN3</t>
  </si>
  <si>
    <t>B003B00484</t>
  </si>
  <si>
    <t>B003L62T7W</t>
  </si>
  <si>
    <t>B09P18XVW6</t>
  </si>
  <si>
    <t>B00LZLPYHW</t>
  </si>
  <si>
    <t>B00NNQMYNE</t>
  </si>
  <si>
    <t>B0B217Z5VK</t>
  </si>
  <si>
    <t>B07B88KQZ8</t>
  </si>
  <si>
    <t>B07Z3K96FR</t>
  </si>
  <si>
    <t>B0756CLQWL</t>
  </si>
  <si>
    <t>B004IO5BMQ</t>
  </si>
  <si>
    <t>B01HGCLUH6</t>
  </si>
  <si>
    <t>B01N4EV2TL</t>
  </si>
  <si>
    <t>B08MZQBFLN</t>
  </si>
  <si>
    <t>B0752LL57V</t>
  </si>
  <si>
    <t>B09Z28BQZT</t>
  </si>
  <si>
    <t>B094DQWV9B</t>
  </si>
  <si>
    <t>B0BBMPH39N</t>
  </si>
  <si>
    <t>B097JQ1J5G</t>
  </si>
  <si>
    <t>B07YY1BY5B</t>
  </si>
  <si>
    <t>B08VRMK55F</t>
  </si>
  <si>
    <t>B08CHZ3ZQ7</t>
  </si>
  <si>
    <t>B08SCCG9D4</t>
  </si>
  <si>
    <t>B0972BQ2RS</t>
  </si>
  <si>
    <t>B00ZRBWPA0</t>
  </si>
  <si>
    <t>B0B2DD66GS</t>
  </si>
  <si>
    <t>B09M869Z5V</t>
  </si>
  <si>
    <t>B07W6VWZ8C</t>
  </si>
  <si>
    <t>B07Z1X6VFC</t>
  </si>
  <si>
    <t>B0759QMF85</t>
  </si>
  <si>
    <t>B00LM4X0KU</t>
  </si>
  <si>
    <t>Parker Quink Ink Bottle, Blue</t>
  </si>
  <si>
    <t>B08PFSZ7FH</t>
  </si>
  <si>
    <t>B012MQS060</t>
  </si>
  <si>
    <t>B01MF8MB65</t>
  </si>
  <si>
    <t>B08QDPB1SL</t>
  </si>
  <si>
    <t>B07BRKK9JQ</t>
  </si>
  <si>
    <t>B01EZ0X3L8</t>
  </si>
  <si>
    <t>B00LM4W1N2</t>
  </si>
  <si>
    <t>B08YD264ZS</t>
  </si>
  <si>
    <t>B00GZLB57U</t>
  </si>
  <si>
    <t>B07V82W5CN</t>
  </si>
  <si>
    <t>B08HD7JQHX</t>
  </si>
  <si>
    <t>B0B31FR4Y2</t>
  </si>
  <si>
    <t>B09Y14JLP3</t>
  </si>
  <si>
    <t>B09ZHCJDP1</t>
  </si>
  <si>
    <t>B08C4Z69LN</t>
  </si>
  <si>
    <t>B016XVRKZM</t>
  </si>
  <si>
    <t>B00LHZW3XY</t>
  </si>
  <si>
    <t>B098JYT4SY</t>
  </si>
  <si>
    <t>B08CFCK6CW</t>
  </si>
  <si>
    <t>B09P564ZTJ</t>
  </si>
  <si>
    <t>B07MSLTW8Z</t>
  </si>
  <si>
    <t>B09N6TTHT6</t>
  </si>
  <si>
    <t>B098R25TGC</t>
  </si>
  <si>
    <t>B0B2PQL5N3</t>
  </si>
  <si>
    <t>B07DKZCZ89</t>
  </si>
  <si>
    <t>B08GYG6T12</t>
  </si>
  <si>
    <t>B09BN2NPBD</t>
  </si>
  <si>
    <t>B00J4YG0PC</t>
  </si>
  <si>
    <t>B073BRXPZX</t>
  </si>
  <si>
    <t>B08LHTJTBB</t>
  </si>
  <si>
    <t>B07VTFN6HM</t>
  </si>
  <si>
    <t>B008QS9J6Y</t>
  </si>
  <si>
    <t>B09M8888DM</t>
  </si>
  <si>
    <t>B09RF2QXGX</t>
  </si>
  <si>
    <t>B01KK0HU3Y</t>
  </si>
  <si>
    <t>B07JF9B592</t>
  </si>
  <si>
    <t>B086394NY5</t>
  </si>
  <si>
    <t>B017PDR9N0</t>
  </si>
  <si>
    <t>B07NC12T2R</t>
  </si>
  <si>
    <t>B07WKBD37W</t>
  </si>
  <si>
    <t>HomeImprovement</t>
  </si>
  <si>
    <t>B08JMC1988</t>
  </si>
  <si>
    <t>B09GFN8WZL</t>
  </si>
  <si>
    <t>B095X38CJS</t>
  </si>
  <si>
    <t>B07ZKD8T1Q</t>
  </si>
  <si>
    <t>B07G3YNLJB</t>
  </si>
  <si>
    <t>B00P93X2H6</t>
  </si>
  <si>
    <t>B0798PJPCL</t>
  </si>
  <si>
    <t>B09GFWJDY1</t>
  </si>
  <si>
    <t>B09MZ6WZ6V</t>
  </si>
  <si>
    <t>B094QZLJQ6</t>
  </si>
  <si>
    <t>B07L3NDN24</t>
  </si>
  <si>
    <t>B08WD18LJZ</t>
  </si>
  <si>
    <t>B06XDKWLJH</t>
  </si>
  <si>
    <t>B01J1CFO5I</t>
  </si>
  <si>
    <t>B07J2NGB69</t>
  </si>
  <si>
    <t>B00MUTWLW4</t>
  </si>
  <si>
    <t>B017NC2IPM</t>
  </si>
  <si>
    <t>B00N1U7JXM</t>
  </si>
  <si>
    <t>B08HQL67D6</t>
  </si>
  <si>
    <t>B09RKFBCV7</t>
  </si>
  <si>
    <t>B01IOZUHRS</t>
  </si>
  <si>
    <t>B00CEQEGPI</t>
  </si>
  <si>
    <t>B08B6XWQ1C</t>
  </si>
  <si>
    <t>B01DGVKBC6</t>
  </si>
  <si>
    <t>B08JD36C6H</t>
  </si>
  <si>
    <t>B00E3DVQFS</t>
  </si>
  <si>
    <t>B00BN5SNF0</t>
  </si>
  <si>
    <t>B09SGGRKV8</t>
  </si>
  <si>
    <t>B084BR3QX8</t>
  </si>
  <si>
    <t>B09VC2D2WG</t>
  </si>
  <si>
    <t>B09163Q5CD</t>
  </si>
  <si>
    <t>B08K9PX15C</t>
  </si>
  <si>
    <t>B083RD1J99</t>
  </si>
  <si>
    <t>B09Z7YGV3R</t>
  </si>
  <si>
    <t>B00N3XLDW0</t>
  </si>
  <si>
    <t>B07Z53L5QL</t>
  </si>
  <si>
    <t>B00P93X0VO</t>
  </si>
  <si>
    <t>B07SBGFDX9</t>
  </si>
  <si>
    <t>B07X2L5Z8C</t>
  </si>
  <si>
    <t>B00VA7YYUO</t>
  </si>
  <si>
    <t>B07L9FW9GF</t>
  </si>
  <si>
    <t>B08D64C9FN</t>
  </si>
  <si>
    <t>B00LOD70SC</t>
  </si>
  <si>
    <t>B09X76VL5L</t>
  </si>
  <si>
    <t>B091JF2TFD</t>
  </si>
  <si>
    <t>B07S7DCJKS</t>
  </si>
  <si>
    <t>B09NC2TY11</t>
  </si>
  <si>
    <t>B0BDS8MY8J</t>
  </si>
  <si>
    <t>B09X7DY7Q4</t>
  </si>
  <si>
    <t>B09YV575RK</t>
  </si>
  <si>
    <t>B08LW31NQ6</t>
  </si>
  <si>
    <t>B09ND94ZRG</t>
  </si>
  <si>
    <t>B0994GP1CX</t>
  </si>
  <si>
    <t>B07H8W9PB6</t>
  </si>
  <si>
    <t>B09NNHFSSF</t>
  </si>
  <si>
    <t>B08D9NDZ1Y</t>
  </si>
  <si>
    <t>B0085IATT6</t>
  </si>
  <si>
    <t>B08WJ86PV2</t>
  </si>
  <si>
    <t>B078HRR1XV</t>
  </si>
  <si>
    <t>B09P22HXH6</t>
  </si>
  <si>
    <t>B00LM4X3XE</t>
  </si>
  <si>
    <t>Parker Quink Ink Bottle (Black)</t>
  </si>
  <si>
    <t>B09YLFHFDW</t>
  </si>
  <si>
    <t>B07YWS9SP9</t>
  </si>
  <si>
    <t>B08WLY8V9S</t>
  </si>
  <si>
    <t>B0873L7J6X</t>
  </si>
  <si>
    <t>B07YNHCW6N</t>
  </si>
  <si>
    <t>B01MQ2A86A</t>
  </si>
  <si>
    <t>B00KIE28X0</t>
  </si>
  <si>
    <t>B0BHYJ8CVF</t>
  </si>
  <si>
    <t>B0BCVJ3PVP</t>
  </si>
  <si>
    <t>B0B2931FCV</t>
  </si>
  <si>
    <t>B09TMZ1MF8</t>
  </si>
  <si>
    <t>B07VV37FT4</t>
  </si>
  <si>
    <t>B07JB2Y4SR</t>
  </si>
  <si>
    <t>B08KRMK9LZ</t>
  </si>
  <si>
    <t>B08LT9BMPP</t>
  </si>
  <si>
    <t>B0814ZY6FP</t>
  </si>
  <si>
    <t>B09F3PDDRF</t>
  </si>
  <si>
    <t>B07X963JNS</t>
  </si>
  <si>
    <t>B09LD3116F</t>
  </si>
  <si>
    <t>B08Y5QJTVK</t>
  </si>
  <si>
    <t>B00LY1FN1K</t>
  </si>
  <si>
    <t>B07DJ5KYDZ</t>
  </si>
  <si>
    <t>B009LJ2BXA</t>
  </si>
  <si>
    <t>B09BVCVTBC</t>
  </si>
  <si>
    <t>B07SY4C3TD</t>
  </si>
  <si>
    <t>B094JB13XL</t>
  </si>
  <si>
    <t>B08CRRQK6Z</t>
  </si>
  <si>
    <t>B08MTLLSL8</t>
  </si>
  <si>
    <t>B08Y57TPDM</t>
  </si>
  <si>
    <t>B09CYTJV3N</t>
  </si>
  <si>
    <t>B07GLNJC25</t>
  </si>
  <si>
    <t>B08FY4FG5X</t>
  </si>
  <si>
    <t>B07TMCXRFV</t>
  </si>
  <si>
    <t>B00LZPQVMK</t>
  </si>
  <si>
    <t>B08X77LM8C</t>
  </si>
  <si>
    <t>B01EJ5MM5M</t>
  </si>
  <si>
    <t>B08J82K4GX</t>
  </si>
  <si>
    <t>Toys&amp;Games</t>
  </si>
  <si>
    <t>B08FGNPQ9X</t>
  </si>
  <si>
    <t>B07NTKGW45</t>
  </si>
  <si>
    <t>B08J4PL1Z3</t>
  </si>
  <si>
    <t>B07XJWTYM2</t>
  </si>
  <si>
    <t>B09939XJX8</t>
  </si>
  <si>
    <t>B08CTQP51L</t>
  </si>
  <si>
    <t>B0BG62HMDJ</t>
  </si>
  <si>
    <t>B08GTYFC37</t>
  </si>
  <si>
    <t>B08SBH499M</t>
  </si>
  <si>
    <t>B08FYB5HHK</t>
  </si>
  <si>
    <t>B0B5GJRTHB</t>
  </si>
  <si>
    <t>B09GBBJV72</t>
  </si>
  <si>
    <t>B07P434WJY</t>
  </si>
  <si>
    <t>B07T9FV9YP</t>
  </si>
  <si>
    <t>B08WKFSN84</t>
  </si>
  <si>
    <t>B09TBCVJS3</t>
  </si>
  <si>
    <t>B08TR61BVK</t>
  </si>
  <si>
    <t>B0B2CPVXHX</t>
  </si>
  <si>
    <t>B08XNL93PL</t>
  </si>
  <si>
    <t>B088GXTJM3</t>
  </si>
  <si>
    <t>B099S26HWG</t>
  </si>
  <si>
    <t>B08461VC1Z</t>
  </si>
  <si>
    <t>B00K32PEW4</t>
  </si>
  <si>
    <t>B07LFWP97N</t>
  </si>
  <si>
    <t>B0746N6WML</t>
  </si>
  <si>
    <t>B07W9KYT62</t>
  </si>
  <si>
    <t>B08D9MNH4B</t>
  </si>
  <si>
    <t>B09MKG4ZCM</t>
  </si>
  <si>
    <t>B07RZZ1QSW</t>
  </si>
  <si>
    <t>B07222HQKP</t>
  </si>
  <si>
    <t>B00NFD0ETQ</t>
  </si>
  <si>
    <t>B075DB1F13</t>
  </si>
  <si>
    <t>B0148NPH9I</t>
  </si>
  <si>
    <t>B01JOFKL0A</t>
  </si>
  <si>
    <t>B079S811J3</t>
  </si>
  <si>
    <t>B0083T231O</t>
  </si>
  <si>
    <t>B086PXQ2R4</t>
  </si>
  <si>
    <t>B07L1N3TJX</t>
  </si>
  <si>
    <t>B07YFWVRCM</t>
  </si>
  <si>
    <t>B08TDJ5BVF</t>
  </si>
  <si>
    <t>B09XXZXQC1</t>
  </si>
  <si>
    <t>B083T5G5PM</t>
  </si>
  <si>
    <t>B0BHVPTM2C</t>
  </si>
  <si>
    <t>B01NBX5RSB</t>
  </si>
  <si>
    <t>B08MWJTST6</t>
  </si>
  <si>
    <t>B07R99NBVB</t>
  </si>
  <si>
    <t>B00LY12TH6</t>
  </si>
  <si>
    <t>B08497Z1MQ</t>
  </si>
  <si>
    <t>B07KNM95JK</t>
  </si>
  <si>
    <t>B09B9SPC7F</t>
  </si>
  <si>
    <t>B099SD8PRP</t>
  </si>
  <si>
    <t>B00S2SEV7K</t>
  </si>
  <si>
    <t>B08WKCTFF3</t>
  </si>
  <si>
    <t>B08498D67S</t>
  </si>
  <si>
    <t>B00C3GBCIS</t>
  </si>
  <si>
    <t>B00URH5E34</t>
  </si>
  <si>
    <t>B00EYW1U68</t>
  </si>
  <si>
    <t>B08SMJT55F</t>
  </si>
  <si>
    <t>B08Y7MXFMK</t>
  </si>
  <si>
    <t>B086Q3QMFS</t>
  </si>
  <si>
    <t>B08498H13H</t>
  </si>
  <si>
    <t>B07LFQLKFZ</t>
  </si>
  <si>
    <t>B00LY17RHI</t>
  </si>
  <si>
    <t>B07W14CHV8</t>
  </si>
  <si>
    <t>B09F5Z694W</t>
  </si>
  <si>
    <t>B0B25LQQPC</t>
  </si>
  <si>
    <t>B01LYLJ99X</t>
  </si>
  <si>
    <t>B014SZPBM4</t>
  </si>
  <si>
    <t>B08CZHGHKH</t>
  </si>
  <si>
    <t>B0B2RBP83P</t>
  </si>
  <si>
    <t>B078W65FJ7</t>
  </si>
  <si>
    <t>B08S74GTBT</t>
  </si>
  <si>
    <t>B07QMRHWJD</t>
  </si>
  <si>
    <t>B07W7Z6DVL</t>
  </si>
  <si>
    <t>B00H47GVGY</t>
  </si>
  <si>
    <t>B07VX71FZP</t>
  </si>
  <si>
    <t>B07NCKMXVZ</t>
  </si>
  <si>
    <t>B0B61DSF17</t>
  </si>
  <si>
    <t>B07VQGVL68</t>
  </si>
  <si>
    <t>B01LWYDEQ7</t>
  </si>
  <si>
    <t>B07VNFP3C2</t>
  </si>
  <si>
    <t>B00LUGTJGO</t>
  </si>
  <si>
    <t>B01MQZ7J8K</t>
  </si>
  <si>
    <t>B01GFTEV5Y</t>
  </si>
  <si>
    <t>B00NW4UWN6</t>
  </si>
  <si>
    <t>B01NCVJMKX</t>
  </si>
  <si>
    <t>B00O24PUO6</t>
  </si>
  <si>
    <t>B07GXPDLYQ</t>
  </si>
  <si>
    <t>B01C8P29N0</t>
  </si>
  <si>
    <t>B08KDBLMQP</t>
  </si>
  <si>
    <t>B078JDNZJ8</t>
  </si>
  <si>
    <t>B01M5F614J</t>
  </si>
  <si>
    <t>B083GKDRKR</t>
  </si>
  <si>
    <t>B097R2V1W8</t>
  </si>
  <si>
    <t>B07YR26BJ3</t>
  </si>
  <si>
    <t>B097R45BH8</t>
  </si>
  <si>
    <t>B09X5C9VLK</t>
  </si>
  <si>
    <t>B01C8P29T4</t>
  </si>
  <si>
    <t>B00HVXS7WC</t>
  </si>
  <si>
    <t>B096YCN3SD</t>
  </si>
  <si>
    <t>B09LQH3SD9</t>
  </si>
  <si>
    <t>B09KNMLH4Y</t>
  </si>
  <si>
    <t>B00ABMASXG</t>
  </si>
  <si>
    <t>B07QDSN9V6</t>
  </si>
  <si>
    <t>B00YMJ0OI8</t>
  </si>
  <si>
    <t>B0B8XNPQPN</t>
  </si>
  <si>
    <t>B008QTK47Q</t>
  </si>
  <si>
    <t>B088ZTJT2R</t>
  </si>
  <si>
    <t>B0BK1K598K</t>
  </si>
  <si>
    <t>B09Y5FZK9N</t>
  </si>
  <si>
    <t>B09J2SCVQT</t>
  </si>
  <si>
    <t>B00TDD0YM4</t>
  </si>
  <si>
    <t>B078KRFWQB</t>
  </si>
  <si>
    <t>B07SRM58TP</t>
  </si>
  <si>
    <t>B00EDJJ7FS</t>
  </si>
  <si>
    <t>B0832W3B7Q</t>
  </si>
  <si>
    <t>B07WNK1FFN</t>
  </si>
  <si>
    <t>B009P2LK08</t>
  </si>
  <si>
    <t>B07DGD4Z4C</t>
  </si>
  <si>
    <t>B07GMFY9QM</t>
  </si>
  <si>
    <t>B0BGPN4GGH</t>
  </si>
  <si>
    <t>B0B2DZ5S6R</t>
  </si>
  <si>
    <t>B07S851WX5</t>
  </si>
  <si>
    <t>B01MY839VW</t>
  </si>
  <si>
    <t>B09LV1CMGH</t>
  </si>
  <si>
    <t>B01EY310UM</t>
  </si>
  <si>
    <t>B09NL7LBWT</t>
  </si>
  <si>
    <t>B008YW8M0G</t>
  </si>
  <si>
    <t>B097R3XH9R</t>
  </si>
  <si>
    <t>B08TM71L54</t>
  </si>
  <si>
    <t>B0BPBXNQQT</t>
  </si>
  <si>
    <t>B00W56GLOQ</t>
  </si>
  <si>
    <t>B0883KDSXC</t>
  </si>
  <si>
    <t>B078V8R9BS</t>
  </si>
  <si>
    <t>B08GSQXLJ2</t>
  </si>
  <si>
    <t>B01M5B0TPW</t>
  </si>
  <si>
    <t>B082KVTRW8</t>
  </si>
  <si>
    <t>B08CFJBZRK</t>
  </si>
  <si>
    <t>B07H3WDC4X</t>
  </si>
  <si>
    <t>B09ZTZ9N3Q</t>
  </si>
  <si>
    <t>B083P71WKK</t>
  </si>
  <si>
    <t>B097R4D42G</t>
  </si>
  <si>
    <t>B07MKMFKPG</t>
  </si>
  <si>
    <t>B0949FPSFY</t>
  </si>
  <si>
    <t>B08F47T4X5</t>
  </si>
  <si>
    <t>B01M0505SJ</t>
  </si>
  <si>
    <t>B08D6RCM3Q</t>
  </si>
  <si>
    <t>B009P2LITG</t>
  </si>
  <si>
    <t>B00V9NHDI4</t>
  </si>
  <si>
    <t>B07WGPBXY9</t>
  </si>
  <si>
    <t>B00KRCBA6E</t>
  </si>
  <si>
    <t>B0B3X2BY3M</t>
  </si>
  <si>
    <t>B00F159RIK</t>
  </si>
  <si>
    <t>B08MV82R99</t>
  </si>
  <si>
    <t>B09VKWGZD7</t>
  </si>
  <si>
    <t>B009P2LK80</t>
  </si>
  <si>
    <t>B00A7PLVU6</t>
  </si>
  <si>
    <t>B0B25DJ352</t>
  </si>
  <si>
    <t>B013B2WGT6</t>
  </si>
  <si>
    <t>B097RJ867P</t>
  </si>
  <si>
    <t>B091V8HK8Z</t>
  </si>
  <si>
    <t>B071VNHMX2</t>
  </si>
  <si>
    <t>B08MVSGXMY</t>
  </si>
  <si>
    <t>B00H0B29DI</t>
  </si>
  <si>
    <t>B01GZSQJPA</t>
  </si>
  <si>
    <t>B08VGFX2B6</t>
  </si>
  <si>
    <t>B09GYBZPHF</t>
  </si>
  <si>
    <t>B0B4KPCBSH</t>
  </si>
  <si>
    <t>IKEA Frother for Milk</t>
  </si>
  <si>
    <t>B09CGLY5CX</t>
  </si>
  <si>
    <t>B09JN37WBX</t>
  </si>
  <si>
    <t>B01I1LDZGA</t>
  </si>
  <si>
    <t>B0BN2576GQ</t>
  </si>
  <si>
    <t>B06XPYRWV5</t>
  </si>
  <si>
    <t>B01N1XVVLC</t>
  </si>
  <si>
    <t>B00O2R38C4</t>
  </si>
  <si>
    <t>B0B2CZTCL2</t>
  </si>
  <si>
    <t>B00PVT30YI</t>
  </si>
  <si>
    <t>B00SH18114</t>
  </si>
  <si>
    <t>B0756K5DYZ</t>
  </si>
  <si>
    <t>B0188KPKB2</t>
  </si>
  <si>
    <t>B091KNVNS9</t>
  </si>
  <si>
    <t>Themisto 350 Watts Egg Boiler-Blue</t>
  </si>
  <si>
    <t>B075JJ5NQC</t>
  </si>
  <si>
    <t>B0B5KZ3C53</t>
  </si>
  <si>
    <t>B09NTHQRW3</t>
  </si>
  <si>
    <t>B008YW3CYM</t>
  </si>
  <si>
    <t>B07QHHCB27</t>
  </si>
  <si>
    <t>B0BMFD94VD</t>
  </si>
  <si>
    <t>B00HZIOGXW</t>
  </si>
  <si>
    <t>B09CKSYBLR</t>
  </si>
  <si>
    <t>B072J83V9W</t>
  </si>
  <si>
    <t>B09MTLG4TP</t>
  </si>
  <si>
    <t>B097XJQZ8H</t>
  </si>
  <si>
    <t>B00935MD1C</t>
  </si>
  <si>
    <t>B0BR4F878Q</t>
  </si>
  <si>
    <t>B07WKB69RS</t>
  </si>
  <si>
    <t>B09DL9978Y</t>
  </si>
  <si>
    <t>B06XMZV7RH</t>
  </si>
  <si>
    <t>B09WMTJPG7</t>
  </si>
  <si>
    <t>B09ZK6THRR</t>
  </si>
  <si>
    <t>B07MP21WJD</t>
  </si>
  <si>
    <t>B09XB1R2F3</t>
  </si>
  <si>
    <t>B08Y5QJXSR</t>
  </si>
  <si>
    <t>B07WJXCTG9</t>
  </si>
  <si>
    <t>B09NBZ36F7</t>
  </si>
  <si>
    <t>B0912WJ87V</t>
  </si>
  <si>
    <t>Car&amp;Motorbike</t>
  </si>
  <si>
    <t>B0BMTZ4T1D</t>
  </si>
  <si>
    <t>B07Z51CGGH</t>
  </si>
  <si>
    <t>B0BDG6QDYD</t>
  </si>
  <si>
    <t>B00YQLG7GK</t>
  </si>
  <si>
    <t>B0B9RN5X8B</t>
  </si>
  <si>
    <t>B08QW937WV</t>
  </si>
  <si>
    <t>B0B4PPD89B</t>
  </si>
  <si>
    <t>B08GM5S4CQ</t>
  </si>
  <si>
    <t>B00NM6MO26</t>
  </si>
  <si>
    <t>B083M7WPZD</t>
  </si>
  <si>
    <t>B07GLSKXS1</t>
  </si>
  <si>
    <t>B09F6KL23R</t>
  </si>
  <si>
    <t>B094G9L9LT</t>
  </si>
  <si>
    <t>B09FZ89DK6</t>
  </si>
  <si>
    <t>B0811VCGL5</t>
  </si>
  <si>
    <t>B07FXLC2G2</t>
  </si>
  <si>
    <t>B083RC4WFJ</t>
  </si>
  <si>
    <t>B09SFRNKSR</t>
  </si>
  <si>
    <t>B07NRTCDS5</t>
  </si>
  <si>
    <t>B07SPVMSC6</t>
  </si>
  <si>
    <t>B09H3BXWTK</t>
  </si>
  <si>
    <t>B0073QGKAS</t>
  </si>
  <si>
    <t>B08GJ57MKL</t>
  </si>
  <si>
    <t>B009DA69W6</t>
  </si>
  <si>
    <t>B099PR2GQJ</t>
  </si>
  <si>
    <t>B08G8H8DPL</t>
  </si>
  <si>
    <t>B08VGM3YMF</t>
  </si>
  <si>
    <t>B08TTRVWKY</t>
  </si>
  <si>
    <t>B07T4D9FNY</t>
  </si>
  <si>
    <t>B07RX42D3D</t>
  </si>
  <si>
    <t>B08WRKSF9D</t>
  </si>
  <si>
    <t>B09R83SFYV</t>
  </si>
  <si>
    <t>B07989VV5K</t>
  </si>
  <si>
    <t>B07FL3WRX5</t>
  </si>
  <si>
    <t>B0BPCJM7TB</t>
  </si>
  <si>
    <t>B08H673XKN</t>
  </si>
  <si>
    <t>B07DXRGWDJ</t>
  </si>
  <si>
    <t>B08243SKCK</t>
  </si>
  <si>
    <t>B09SPTNG58</t>
  </si>
  <si>
    <t>B083J64CBB</t>
  </si>
  <si>
    <t>B08JV91JTK</t>
  </si>
  <si>
    <t>B0BQ3K23Y1</t>
  </si>
  <si>
    <t>B09MT94QLL</t>
  </si>
  <si>
    <t>B07NKNBTT3</t>
  </si>
  <si>
    <t>B09KPXTZXN</t>
  </si>
  <si>
    <t>B078HG2ZPS</t>
  </si>
  <si>
    <t>B07N2MGB3G</t>
  </si>
  <si>
    <t>B008LN8KDM</t>
  </si>
  <si>
    <t>B08MZNT7GP</t>
  </si>
  <si>
    <t>B009P2L7CO</t>
  </si>
  <si>
    <t>B07YC8JHMB</t>
  </si>
  <si>
    <t>B0BNQMF152</t>
  </si>
  <si>
    <t>B08J7VCT12</t>
  </si>
  <si>
    <t>B0989W6J2F</t>
  </si>
  <si>
    <t>B0B84KSH3X</t>
  </si>
  <si>
    <t>B08HLC7Z3G</t>
  </si>
  <si>
    <t>B0BN6M3TCM</t>
  </si>
  <si>
    <t>B01L6MT7E0</t>
  </si>
  <si>
    <t>B0B9F9PT8R</t>
  </si>
  <si>
    <t>B0883LQJ6B</t>
  </si>
  <si>
    <t>B099Z83VRC</t>
  </si>
  <si>
    <t>B00S9BSJC8</t>
  </si>
  <si>
    <t>B0B4SJKRDF</t>
  </si>
  <si>
    <t>B0BM4KTNL1</t>
  </si>
  <si>
    <t>B08S6RKT4L</t>
  </si>
  <si>
    <t>B09SZ5TWHW</t>
  </si>
  <si>
    <t>B0BLC2BYPX</t>
  </si>
  <si>
    <t>B00P0R95EA</t>
  </si>
  <si>
    <t>B07W4HTS8Q</t>
  </si>
  <si>
    <t>B078JBK4GX</t>
  </si>
  <si>
    <t>B08S7V8YTN</t>
  </si>
  <si>
    <t>B07H5PBN54</t>
  </si>
  <si>
    <t>B07YCBSCYB</t>
  </si>
  <si>
    <t>B098T9CJVQ</t>
  </si>
  <si>
    <t>B01KCSGBU2</t>
  </si>
  <si>
    <t>B095XCRDQW</t>
  </si>
  <si>
    <t>B09CTWFV5W</t>
  </si>
  <si>
    <t>B0B7NWGXS6</t>
  </si>
  <si>
    <t>B07DZ986Q2</t>
  </si>
  <si>
    <t>B07KKJPTWB</t>
  </si>
  <si>
    <t>B086X18Q71</t>
  </si>
  <si>
    <t>B07WVQG8WZ</t>
  </si>
  <si>
    <t>B0BFBNXS94</t>
  </si>
  <si>
    <t>B071113J7M</t>
  </si>
  <si>
    <t>B09YLWT89W</t>
  </si>
  <si>
    <t>B0814LP6S9</t>
  </si>
  <si>
    <t>B07BKSSDR2</t>
  </si>
  <si>
    <t>Health&amp;PersonalCare</t>
  </si>
  <si>
    <t>B09VGS66FV</t>
  </si>
  <si>
    <t>B07RCGTZ4M</t>
  </si>
  <si>
    <t>B0747VDH9L</t>
  </si>
  <si>
    <t>B08XLR6DSB</t>
  </si>
  <si>
    <t>B07CVR2L5K</t>
  </si>
  <si>
    <t>B09J4YQYX3</t>
  </si>
  <si>
    <t>B0B2DD8BQ8</t>
  </si>
  <si>
    <t>B0123P3PWE</t>
  </si>
  <si>
    <t>B08HDCWDXD</t>
  </si>
  <si>
    <t>B0BCKJJN8R</t>
  </si>
  <si>
    <t>B008P7IF02</t>
  </si>
  <si>
    <t>B08CNLYKW5</t>
  </si>
  <si>
    <t>B08C7TYHPB</t>
  </si>
  <si>
    <t>B08VJFYH6N</t>
  </si>
  <si>
    <t>B08235JZFB</t>
  </si>
  <si>
    <t>B078XFKBZL</t>
  </si>
  <si>
    <t>B01M265AAK</t>
  </si>
  <si>
    <t>B0B694PXQJ</t>
  </si>
  <si>
    <t>B00B3VFJY2</t>
  </si>
  <si>
    <t>B08W9BK4MD</t>
  </si>
  <si>
    <t>B09X5HD5T1</t>
  </si>
  <si>
    <t>B08H6B3G96</t>
  </si>
  <si>
    <t>B09N3BFP4M</t>
  </si>
  <si>
    <t>B09DSQXCM8</t>
  </si>
  <si>
    <t>B01M69WCZ6</t>
  </si>
  <si>
    <t>B0BM9H2NY9</t>
  </si>
  <si>
    <t>B099FDW2ZF</t>
  </si>
  <si>
    <t>B0B935YNR7</t>
  </si>
  <si>
    <t>B07JGCGNDG</t>
  </si>
  <si>
    <t>B08L12N5H1</t>
  </si>
  <si>
    <t>B07GWTWFS2</t>
  </si>
  <si>
    <t>B09KRHXTLN</t>
  </si>
  <si>
    <t>B09H34V36W</t>
  </si>
  <si>
    <t>B09J2QCKKM</t>
  </si>
  <si>
    <t>B09XRBJ94N</t>
  </si>
  <si>
    <t>B07SLNG3LW</t>
  </si>
  <si>
    <t>B0BNDGL26T</t>
  </si>
  <si>
    <t>B095PWLLY6</t>
  </si>
  <si>
    <t>B0BJ966M5K</t>
  </si>
  <si>
    <t>B086GVRP63</t>
  </si>
  <si>
    <t>B08MVXPTDG</t>
  </si>
  <si>
    <t>B0BMZ6SY89</t>
  </si>
  <si>
    <t>B09P1MFKG1</t>
  </si>
  <si>
    <t>B01LY9W8AF</t>
  </si>
  <si>
    <t>B07ZJND9B9</t>
  </si>
  <si>
    <t>B0B2CWRDB1</t>
  </si>
  <si>
    <t>B072NCN9M4</t>
  </si>
  <si>
    <t>B08SKZ2RMG</t>
  </si>
  <si>
    <t>B0B53DS4TF</t>
  </si>
  <si>
    <t>B08BJN4MP3</t>
  </si>
  <si>
    <t>B0BCYQY9X5</t>
  </si>
  <si>
    <t>B009UORDX4</t>
  </si>
  <si>
    <t>B08VGDBF3B</t>
  </si>
  <si>
    <t>B012ELCYUG</t>
  </si>
  <si>
    <t>B07S9M8YTY</t>
  </si>
  <si>
    <t>B0B19VJXQZ</t>
  </si>
  <si>
    <t>B00SMFPJG0</t>
  </si>
  <si>
    <t>B0BHYLCL19</t>
  </si>
  <si>
    <t>B0BPJBTB3F</t>
  </si>
  <si>
    <t>B08MXJYB2V</t>
  </si>
  <si>
    <t>B081B1JL35</t>
  </si>
  <si>
    <t>B09VL9KFDB</t>
  </si>
  <si>
    <t>B0B1MDZV9C</t>
  </si>
  <si>
    <t>B08TT63N58</t>
  </si>
  <si>
    <t>B08YK7BBD2</t>
  </si>
  <si>
    <t>B07YQ5SN4H</t>
  </si>
  <si>
    <t>B0B7FJNSZR</t>
  </si>
  <si>
    <t>B01N6IJG0F</t>
  </si>
  <si>
    <t>B0B84QN4CN</t>
  </si>
  <si>
    <t>B0B8ZM9RVV</t>
  </si>
  <si>
    <t>B01892MIPA</t>
  </si>
  <si>
    <t>B08ZHYNTM1</t>
  </si>
  <si>
    <t>B09SDDQQKP</t>
  </si>
  <si>
    <t>B0B5RP43VN</t>
  </si>
  <si>
    <t>B096NTB9XT</t>
  </si>
  <si>
    <t>B078JF6X9B</t>
  </si>
  <si>
    <t>B08CGW4GYR</t>
  </si>
  <si>
    <t>B00A328ENA</t>
  </si>
  <si>
    <t>B0763K5HLQ</t>
  </si>
  <si>
    <t>B09PDZNSBG</t>
  </si>
  <si>
    <t>B085LPT5F4</t>
  </si>
  <si>
    <t>B0B9RZ4G4W</t>
  </si>
  <si>
    <t>B0085W2MUQ</t>
  </si>
  <si>
    <t>B09474JWN6</t>
  </si>
  <si>
    <t>B09G2VTHQM</t>
  </si>
  <si>
    <t>B07R679HTT</t>
  </si>
  <si>
    <t>B00B7GKXMG</t>
  </si>
  <si>
    <t>B07H3N8RJH</t>
  </si>
  <si>
    <t>B07K2HVKLL</t>
  </si>
  <si>
    <t>B09MQ9PDHR</t>
  </si>
  <si>
    <t>B014HDJ7ZE</t>
  </si>
  <si>
    <t>B07D2NMTTV</t>
  </si>
  <si>
    <t>B075K76YW1</t>
  </si>
  <si>
    <t>B0BNLFQDG2</t>
  </si>
  <si>
    <t>B082ZQ4479</t>
  </si>
  <si>
    <t>B09Y358DZQ</t>
  </si>
  <si>
    <t>B09M3F4HGB</t>
  </si>
  <si>
    <t>B07VZH6ZBB</t>
  </si>
  <si>
    <t>B07F366Z51</t>
  </si>
  <si>
    <t>B077BTLQ67</t>
  </si>
  <si>
    <t>B07YSJ7FF1</t>
  </si>
  <si>
    <t>B07TXCY3YK</t>
  </si>
  <si>
    <t>B07TC9F7PN</t>
  </si>
  <si>
    <t>B09NS5TKPN</t>
  </si>
  <si>
    <t>B00LP9RFSU</t>
  </si>
  <si>
    <t>B0B7L86YCB</t>
  </si>
  <si>
    <t>B09VPH38JS</t>
  </si>
  <si>
    <t>B01MUAUOCX</t>
  </si>
  <si>
    <t>B09MB3DKG1</t>
  </si>
  <si>
    <t>B08QHLXWV3</t>
  </si>
  <si>
    <t>B07G147SZD</t>
  </si>
  <si>
    <t>B09LH32678</t>
  </si>
  <si>
    <t>B09R1YFL6S</t>
  </si>
  <si>
    <t>B07Q4NJQC5</t>
  </si>
  <si>
    <t>B097RN7BBK</t>
  </si>
  <si>
    <t>B097MKZHNV</t>
  </si>
  <si>
    <t>B07LG96SDB</t>
  </si>
  <si>
    <t>B08KS2KQTK</t>
  </si>
  <si>
    <t>B095K14P86</t>
  </si>
  <si>
    <t>B08K36NZSV</t>
  </si>
  <si>
    <t>B07LDPLSZC</t>
  </si>
  <si>
    <t>B07F1T31ZZ</t>
  </si>
  <si>
    <t>B0BNDRK886</t>
  </si>
  <si>
    <t>B09ZVJXN5L</t>
  </si>
  <si>
    <t>B08JKPVDKL</t>
  </si>
  <si>
    <t>B09JFR8H3Q</t>
  </si>
  <si>
    <t>B07LDN9Q2P</t>
  </si>
  <si>
    <t>B08T8KWNQ9</t>
  </si>
  <si>
    <t>B07Y1RCCW5</t>
  </si>
  <si>
    <t>B0762HXMTF</t>
  </si>
  <si>
    <t>B00K57MR22</t>
  </si>
  <si>
    <t>B07TTSS5MP</t>
  </si>
  <si>
    <t>B09ZDVL7L8</t>
  </si>
  <si>
    <t>B09XHXXCFH</t>
  </si>
  <si>
    <t>B0BL3R4RGS</t>
  </si>
  <si>
    <t>B07P1BR7L8</t>
  </si>
  <si>
    <t>B078WB1VWJ</t>
  </si>
  <si>
    <t>B0BP89YBC1</t>
  </si>
  <si>
    <t>B09W9V2PXG</t>
  </si>
  <si>
    <t>B09XTQFFCG</t>
  </si>
  <si>
    <t>B08LVVTGZK</t>
  </si>
  <si>
    <t>B07J2BQZD6</t>
  </si>
  <si>
    <t>B07HK53XM4</t>
  </si>
  <si>
    <t>B08RDWBYCQ</t>
  </si>
  <si>
    <t>B09FHHTL8L</t>
  </si>
  <si>
    <t>B0BHNHMR3H</t>
  </si>
  <si>
    <t>B07D8VBYB4</t>
  </si>
  <si>
    <t>B0B3TBY2YX</t>
  </si>
  <si>
    <t>B088WCFPQF</t>
  </si>
  <si>
    <t>B07JZSG42Y</t>
  </si>
  <si>
    <t>B08YRMBK9R</t>
  </si>
  <si>
    <t>B00935MGHS</t>
  </si>
  <si>
    <t>B07B5XJ572</t>
  </si>
  <si>
    <t>B086199CWG</t>
  </si>
  <si>
    <t>B0BBWJFK5C</t>
  </si>
  <si>
    <t>B07GLS2563</t>
  </si>
  <si>
    <t>B09P182Z2H</t>
  </si>
  <si>
    <t>B0B59K1C8F</t>
  </si>
  <si>
    <t>B06Y36JKC3</t>
  </si>
  <si>
    <t>B075S9FVRY</t>
  </si>
  <si>
    <t>B08SJVD8QD</t>
  </si>
  <si>
    <t>B07FJNNZCJ</t>
  </si>
  <si>
    <t>B09MFR93KS</t>
  </si>
  <si>
    <t>B07Y5FDPKV</t>
  </si>
  <si>
    <t>B0756KCV5K</t>
  </si>
  <si>
    <t>B0BJ6P3LSK</t>
  </si>
  <si>
    <t>B09HS1NDRQ</t>
  </si>
  <si>
    <t>B018SJJ0GE</t>
  </si>
  <si>
    <t>B09FPP3R1D</t>
  </si>
  <si>
    <t>B01F7B2JCI</t>
  </si>
  <si>
    <t>B09NNZ1GF7</t>
  </si>
  <si>
    <t>B01CS4A5V4</t>
  </si>
  <si>
    <t>B0BL11S5QK</t>
  </si>
  <si>
    <t>B09BL2KHQW</t>
  </si>
  <si>
    <t>B081RLM75M</t>
  </si>
  <si>
    <t>B07SYYVP69</t>
  </si>
  <si>
    <t>B0BDZWMGZ1</t>
  </si>
  <si>
    <t>B078JT7LTD</t>
  </si>
  <si>
    <t>B09WF4Q7B3</t>
  </si>
  <si>
    <t>B092R48XXB</t>
  </si>
  <si>
    <t>B00KIDSU8S</t>
  </si>
  <si>
    <t>B0977CGNJJ</t>
  </si>
  <si>
    <t>B08WWKM5HQ</t>
  </si>
  <si>
    <t>B015GX9Y0W</t>
  </si>
  <si>
    <t>B089BDBDGM</t>
  </si>
  <si>
    <t>B0BPBG712X</t>
  </si>
  <si>
    <t>B00JBNZPFM</t>
  </si>
  <si>
    <t>B08N6P8G5K</t>
  </si>
  <si>
    <t>B07NPBG1B4</t>
  </si>
  <si>
    <t>B01MRARGBW</t>
  </si>
  <si>
    <t>B07VZYMQNZ</t>
  </si>
  <si>
    <t>B01L7C4IU2</t>
  </si>
  <si>
    <t>B09H7JDJCW</t>
  </si>
  <si>
    <t>B07F6GXNPB</t>
  </si>
  <si>
    <t>B0B97D658R</t>
  </si>
  <si>
    <t>B09NFSHCWN</t>
  </si>
  <si>
    <t>B076VQS87V</t>
  </si>
  <si>
    <t>B09LMMFW3S</t>
  </si>
  <si>
    <t>B0BBLHTRM9</t>
  </si>
  <si>
    <t>B0BJYSCWFQ</t>
  </si>
  <si>
    <t>B0187F2IOK</t>
  </si>
  <si>
    <t>B0B8CB7MHW</t>
  </si>
  <si>
    <t>B07K19NYZ8</t>
  </si>
  <si>
    <t>B00GHL8VP2</t>
  </si>
  <si>
    <t>B0B9JZW1SQ</t>
  </si>
  <si>
    <t>B00TI8E7BI</t>
  </si>
  <si>
    <t>B07J9KXQCC</t>
  </si>
  <si>
    <t>B0B3JSWG81</t>
  </si>
  <si>
    <t>B08L7J3T31</t>
  </si>
  <si>
    <t>B01M6453MB</t>
  </si>
  <si>
    <t>B009P2LIL4</t>
  </si>
  <si>
    <t>B00J5DYCCA</t>
  </si>
  <si>
    <t>B01486F4G6</t>
  </si>
  <si>
    <t>B0B5CGTBKV</t>
  </si>
  <si>
    <t>B0BD92GDQH</t>
  </si>
  <si>
    <t>B09NL4DCXK</t>
  </si>
  <si>
    <t>B09BF8JBWX</t>
  </si>
  <si>
    <t>B07YL54NVJ</t>
  </si>
  <si>
    <t>B082FTPRSK</t>
  </si>
  <si>
    <t>B08KHM9VBJ</t>
  </si>
  <si>
    <t>B00DJ5N9VK</t>
  </si>
  <si>
    <t>Row Labels</t>
  </si>
  <si>
    <t>Grand Total</t>
  </si>
  <si>
    <t>TP-Link USB WiFi Adapter for</t>
  </si>
  <si>
    <t>Acer 80 cm (32 inches)</t>
  </si>
  <si>
    <t>OnePlus 80 cm (32 inches)</t>
  </si>
  <si>
    <t>OnePlus 126 cm (50 inches)</t>
  </si>
  <si>
    <t>Mi 108 cm (43 inches)</t>
  </si>
  <si>
    <t>Wayona Nylon Braided 3A Lightning</t>
  </si>
  <si>
    <t>FLiX (Beetel USB to Micro</t>
  </si>
  <si>
    <t>Amazon Basics High-Speed HDMI Cable,</t>
  </si>
  <si>
    <t>7SEVEN® Compatible for Samsung Smart</t>
  </si>
  <si>
    <t>AmazonBasics Micro USB Fast Charging</t>
  </si>
  <si>
    <t>VW 80 cm (32 inches)</t>
  </si>
  <si>
    <t>TP-LINK WiFi Dongle 300 Mbps</t>
  </si>
  <si>
    <t>Airtel DigitalTV DTH Television, Setup</t>
  </si>
  <si>
    <t>Model-P4 6 Way Swivel Tilt</t>
  </si>
  <si>
    <t>Redmi 108 cm (43 inches)</t>
  </si>
  <si>
    <t>Wayona Usb Nylon Braided Data</t>
  </si>
  <si>
    <t>Flix (Beetel) Usb To Type</t>
  </si>
  <si>
    <t>SKYWALL 81.28 cm (32 inches)</t>
  </si>
  <si>
    <t>Acer 127 cm (50 inches)</t>
  </si>
  <si>
    <t>Samsung 108 cm (43 inches)</t>
  </si>
  <si>
    <t>Wayona Nylon Braided (2 Pack)</t>
  </si>
  <si>
    <t>OnePlus 108 cm (43 inches)</t>
  </si>
  <si>
    <t>boAt Deuce USB 300 2</t>
  </si>
  <si>
    <t>Lapster USB 3.0 A to</t>
  </si>
  <si>
    <t>TCL 100 cm (40 inches)</t>
  </si>
  <si>
    <t>ZEBRONICS ZEB-USB150WF1 WiFi USB Mini</t>
  </si>
  <si>
    <t>LOHAYA Remote Compatible for Mi</t>
  </si>
  <si>
    <t>Gilary Multi Charging Cable, 3</t>
  </si>
  <si>
    <t>TP-Link UE300 USB 3.0 to</t>
  </si>
  <si>
    <t>Wayona Type C to Lightning</t>
  </si>
  <si>
    <t>Dealfreez Case Compatible with Fire</t>
  </si>
  <si>
    <t>Amazon Basics New Release Nylon</t>
  </si>
  <si>
    <t>Isoelite Remote Compatible for Samsung</t>
  </si>
  <si>
    <t>Wayona Nylon Braided USB Data</t>
  </si>
  <si>
    <t>Wayona Nylon Braided 2M /</t>
  </si>
  <si>
    <t>CROSSVOLT Compatible Dash/Warp Data Sync</t>
  </si>
  <si>
    <t>VU 139 cm (55 inches)</t>
  </si>
  <si>
    <t>PTron Solero T241 2.4A Type-C</t>
  </si>
  <si>
    <t>Croma 80 cm (32 Inches)</t>
  </si>
  <si>
    <t>boAt Laptop, Smartphone Type-c A400</t>
  </si>
  <si>
    <t>LG 80 cm (32 inches)</t>
  </si>
  <si>
    <t>boAt Type C A750 Stress</t>
  </si>
  <si>
    <t>Cotbolt Silicone Protective Case Cover</t>
  </si>
  <si>
    <t>Portronics Konnect L POR-1403 Fast</t>
  </si>
  <si>
    <t>Electvision Remote Control Compatible with</t>
  </si>
  <si>
    <t>King Shine Multi Retractable 3.0A</t>
  </si>
  <si>
    <t>Lapster 5 pin mini usb</t>
  </si>
  <si>
    <t>Portronics Konnect Spydr 31 3-in-1</t>
  </si>
  <si>
    <t>Remote Control Compatible for Amazon</t>
  </si>
  <si>
    <t>Hisense 108 cm (43 inches)</t>
  </si>
  <si>
    <t>Redmi 126 cm (50 inches)</t>
  </si>
  <si>
    <t>AmazonBasics 6-Feet DisplayPort (not USB</t>
  </si>
  <si>
    <t>AmazonBasics 3 Feet High Speed</t>
  </si>
  <si>
    <t>iFFALCON 80 cm (32 inches)</t>
  </si>
  <si>
    <t>7SEVEN® Compatible Lg Smart Tv</t>
  </si>
  <si>
    <t>AmazonBasics 3.5mm to 2-Male RCA</t>
  </si>
  <si>
    <t>Acer 109 cm (43 inches)</t>
  </si>
  <si>
    <t>Saifsmart Outlet Wall Mount Hanger</t>
  </si>
  <si>
    <t>MI 2-in-1 USB Type C</t>
  </si>
  <si>
    <t>AmazonBasics New Release ABS USB-A</t>
  </si>
  <si>
    <t>LG 108 cm (43 inches)</t>
  </si>
  <si>
    <t>pTron Solero 331 3.4Amps Multifunction</t>
  </si>
  <si>
    <t>10k 8k 4k HDMI Cable,</t>
  </si>
  <si>
    <t>LRIPL Compatible Sony Bravia LCD/led</t>
  </si>
  <si>
    <t>boAt Type-c A400 Type-c to</t>
  </si>
  <si>
    <t>Zoul Type C to Type</t>
  </si>
  <si>
    <t>TP-LINK AC1300 Archer T3U Plus</t>
  </si>
  <si>
    <t>LRIPL Mi Remote Control with</t>
  </si>
  <si>
    <t>TP-Link Nano USB WiFi Dongle</t>
  </si>
  <si>
    <t>Airtel DigitalTV DTH Remote SD/HD/HD</t>
  </si>
  <si>
    <t>AmazonBasics New Release Nylon USB-A</t>
  </si>
  <si>
    <t>Ambrane Fast 100W Output Cable</t>
  </si>
  <si>
    <t>BlueRigger Digital Optical Audio Toslink</t>
  </si>
  <si>
    <t>Duracell Type-C To Micro 1.2M</t>
  </si>
  <si>
    <t>VU 138 cm (55 inches)</t>
  </si>
  <si>
    <t>Zoul USB Type C Fast</t>
  </si>
  <si>
    <t>Samsung 80 cm (32 inches)</t>
  </si>
  <si>
    <t>MI Xiaomi USB Type C</t>
  </si>
  <si>
    <t>GENERIC Ultra-Mini Bluetooth CSR 4.0</t>
  </si>
  <si>
    <t>7SEVEN® Compatible for Tata Sky</t>
  </si>
  <si>
    <t>EGate i9 Pro-Max 1080p Native</t>
  </si>
  <si>
    <t>ZEBRONICS HAA2021 HDMI version 2.1</t>
  </si>
  <si>
    <t>7SEVEN® Compatible for Sony Bravia</t>
  </si>
  <si>
    <t>AmazonBasics Digital Optical Coax to</t>
  </si>
  <si>
    <t>Wayona Type C Cable Nylon</t>
  </si>
  <si>
    <t>Pinnaclz Original Combo of 2</t>
  </si>
  <si>
    <t>Ambrane BCL-15 Lightning Cable for</t>
  </si>
  <si>
    <t>LOHAYA Television Remote Compatible with</t>
  </si>
  <si>
    <t>Wayona Nylon Braided Lightning USB</t>
  </si>
  <si>
    <t>realme 10W Fast Charging Micro-USB</t>
  </si>
  <si>
    <t>TP-Link AC1300 USB WiFi Adapter</t>
  </si>
  <si>
    <t>Acer 139 cm (55 inches)</t>
  </si>
  <si>
    <t>Wayona USB Type C 65W</t>
  </si>
  <si>
    <t>Syncwire LTG to USB Cable</t>
  </si>
  <si>
    <t>Skadioo WiFi Adapter for pc</t>
  </si>
  <si>
    <t>FLiX (Beetel USB to Type</t>
  </si>
  <si>
    <t>Zoul USB C to USB</t>
  </si>
  <si>
    <t>FLiX (Beetel Flow USB to</t>
  </si>
  <si>
    <t>7SEVEN® Bluetooth Voice Command Remote</t>
  </si>
  <si>
    <t>Sony TV - Remote Compatible</t>
  </si>
  <si>
    <t>Storite USB 3.0 Cable A</t>
  </si>
  <si>
    <t>boAt LTG 500 Apple MFI</t>
  </si>
  <si>
    <t>AmazonBasics USB C to Lightning</t>
  </si>
  <si>
    <t>Amazon Basics USB 3.0 Cable</t>
  </si>
  <si>
    <t>Wayona Usb C 65W Fast</t>
  </si>
  <si>
    <t>Karbonn 80 cm (32 inches)</t>
  </si>
  <si>
    <t>VW 60 cm (24 inches)</t>
  </si>
  <si>
    <t>Amazon Basics USB A to</t>
  </si>
  <si>
    <t>LOHAYA Television Remote Compatible for</t>
  </si>
  <si>
    <t>Duracell Micro USB 3A Braided</t>
  </si>
  <si>
    <t>Zebronics CU3100V Fast charging Type</t>
  </si>
  <si>
    <t>FLiX (Beetel) USB to iPhone</t>
  </si>
  <si>
    <t>Belkin Apple Certified Lightning to</t>
  </si>
  <si>
    <t>Time Office Scanner Replacement Cable</t>
  </si>
  <si>
    <t>Caldipree Silicone Case Cover Compatible</t>
  </si>
  <si>
    <t>Storite USB 2.0 A to</t>
  </si>
  <si>
    <t>Universal Remote Control for All</t>
  </si>
  <si>
    <t>Cotbolt Silicone Case Cover Compatible</t>
  </si>
  <si>
    <t>BlueRigger High Speed HDMI Cable</t>
  </si>
  <si>
    <t>Amkette 30 Pin to USB</t>
  </si>
  <si>
    <t>TCL 80 cm (32 inches)</t>
  </si>
  <si>
    <t>POPIO Type C Dash Charging</t>
  </si>
  <si>
    <t>MYVN LTG to USB for Fast</t>
  </si>
  <si>
    <t>Tata Sky Universal Remote Compatible</t>
  </si>
  <si>
    <t>WZATCO Pixel | Portable LED</t>
  </si>
  <si>
    <t>7SEVEN® Compatible Tata Sky Remote</t>
  </si>
  <si>
    <t>AmazonBasics USB 2.0 Extension Cable</t>
  </si>
  <si>
    <t>Amazon Basics USB C to</t>
  </si>
  <si>
    <t>Crypo™ Universal Remote Compatible with</t>
  </si>
  <si>
    <t>OnePlus 138.7 cm (55 inches)</t>
  </si>
  <si>
    <t>Posh 1.5 Meter High Speed</t>
  </si>
  <si>
    <t>boAt LTG 550v3 Lightning Apple</t>
  </si>
  <si>
    <t>Wayona Nylon Braided Usb Syncing</t>
  </si>
  <si>
    <t>Astigo Compatible Remote for Airtel</t>
  </si>
  <si>
    <t>Portronics Konnect L 60W PD</t>
  </si>
  <si>
    <t>TATA SKY HD Connection with</t>
  </si>
  <si>
    <t>Remote Compatible for Samsung LED/LCD</t>
  </si>
  <si>
    <t>SoniVision SA-D10 SA-D100 SA-D40 Home</t>
  </si>
  <si>
    <t>Rts™ High Speed 3D Full</t>
  </si>
  <si>
    <t>Agaro Blaze USBA to micro</t>
  </si>
  <si>
    <t>AmazonBasics 6 Feet DisplayPort to</t>
  </si>
  <si>
    <t>Sansui 140cm (55 inches) 4K</t>
  </si>
  <si>
    <t>LOHAYA LCD/LED Remote Compatible for</t>
  </si>
  <si>
    <t>Belkin USB C to USB-C</t>
  </si>
  <si>
    <t>7SEVEN® TCL Remote Control Smart</t>
  </si>
  <si>
    <t>Wayona 3in1 Nylon Braided 66W</t>
  </si>
  <si>
    <t>Hi-Mobiler iPhone Charger Lightning Cable,2</t>
  </si>
  <si>
    <t>Amazon Basics 16-Gauge Speaker Wire</t>
  </si>
  <si>
    <t>Ambrane 60W / 3A Fast</t>
  </si>
  <si>
    <t>Wayona Usb Type C To</t>
  </si>
  <si>
    <t>Caprigo Heavy Duty TV Wall</t>
  </si>
  <si>
    <t>Electvision Remote Control for led</t>
  </si>
  <si>
    <t>Boat A 350 Type C</t>
  </si>
  <si>
    <t>pTron Solero M241 2.4A Micro</t>
  </si>
  <si>
    <t>AmazonBasics USB Type-C to USB</t>
  </si>
  <si>
    <t>Croma 3A Fast charge 1m</t>
  </si>
  <si>
    <t>Sony Bravia 164 cm (65</t>
  </si>
  <si>
    <t>7SEVEN® Compatible for Mi tv</t>
  </si>
  <si>
    <t>7SEVEN® Compatible Vu Smart Tv</t>
  </si>
  <si>
    <t>Storite High Speed Micro USB</t>
  </si>
  <si>
    <t>FLiX (Beetel) 3in1 (Type C|Micro|Iphone</t>
  </si>
  <si>
    <t>SVM Products Unbreakable Set Top</t>
  </si>
  <si>
    <t>VU 164 cm (65 inches)</t>
  </si>
  <si>
    <t>CableCreation RCA to 3.5mm Male</t>
  </si>
  <si>
    <t>Wayona USB Type C Fast</t>
  </si>
  <si>
    <t>boAt Rugged V3 Braided Micro</t>
  </si>
  <si>
    <t>AmazonBasics - High-Speed Male to</t>
  </si>
  <si>
    <t>Wayona Nylon Braided Usb Type</t>
  </si>
  <si>
    <t>7SEVEN Compatible LG TV Remote</t>
  </si>
  <si>
    <t>Acer 100 cm (40 inches)</t>
  </si>
  <si>
    <t>Lapster usb 2.0 mantra cable,</t>
  </si>
  <si>
    <t>AmazonBasics High-Speed Braided HDMI Cable</t>
  </si>
  <si>
    <t>Cubetek 3 in 1 LCD</t>
  </si>
  <si>
    <t>KRISONS Thunder Speaker, Multimedia Home</t>
  </si>
  <si>
    <t>Dealfreez Case Compatible for Fire</t>
  </si>
  <si>
    <t>Airtel Digital TV HD Set</t>
  </si>
  <si>
    <t>LOHAYA Voice Assistant Remote Compatible</t>
  </si>
  <si>
    <t>Samsung 138 cm (55 inches)</t>
  </si>
  <si>
    <t>Amazon Brand - Solimo 3A</t>
  </si>
  <si>
    <t>Mi 100 cm (40 inches)</t>
  </si>
  <si>
    <t>Astigo Compatible Remote Control for</t>
  </si>
  <si>
    <t>Toshiba 108 cm (43 inches)</t>
  </si>
  <si>
    <t>Lenovo USB A to Type-C</t>
  </si>
  <si>
    <t>Amazon Brand - Solimo 65W</t>
  </si>
  <si>
    <t>LG 139 cm (55 inches)</t>
  </si>
  <si>
    <t>Tata Sky Digital TV HD</t>
  </si>
  <si>
    <t>VU 108 cm (43 inches)</t>
  </si>
  <si>
    <t>Storite Super Speed USB 3.0</t>
  </si>
  <si>
    <t>Kodak 80 cm (32 Inches)</t>
  </si>
  <si>
    <t>AmazonBasics Double Braided Nylon USB</t>
  </si>
  <si>
    <t>AmazonBasics 10.2 Gbps High-Speed 4K</t>
  </si>
  <si>
    <t>Hisense 126 cm (50 inches)</t>
  </si>
  <si>
    <t>Tuarso 8K HDMI 2.1 Cable</t>
  </si>
  <si>
    <t>AmazonBasics USB Type-C to Micro-B</t>
  </si>
  <si>
    <t>Kodak 139 cm (55 inches)</t>
  </si>
  <si>
    <t>Smashtronics® - Case for Firetv</t>
  </si>
  <si>
    <t>7SEVEN® Suitable Sony Tv Remote</t>
  </si>
  <si>
    <t>PROLEGEND® PL-T002 Universal TV Stand</t>
  </si>
  <si>
    <t>WANBO X1 Pro (Upgraded) |</t>
  </si>
  <si>
    <t>Lava Charging Adapter Elements D3</t>
  </si>
  <si>
    <t>TIZUM High Speed HDMI Cable</t>
  </si>
  <si>
    <t>Technotech High Speed HDMI Cable</t>
  </si>
  <si>
    <t>NK STAR 950 Mbps USB</t>
  </si>
  <si>
    <t>LS LAPSTER Quality Assured USB</t>
  </si>
  <si>
    <t>Amazon Basics 10.2 Gbps High-Speed</t>
  </si>
  <si>
    <t>Kodak 126 cm (50 inches)</t>
  </si>
  <si>
    <t>ZORBES® Wall Adapter Holder for</t>
  </si>
  <si>
    <t>Sansui 80cm (32 inches) HD</t>
  </si>
  <si>
    <t>Synqe USB Type C Fast</t>
  </si>
  <si>
    <t>Bestor ® 8K Hdmi 2.1</t>
  </si>
  <si>
    <t>Irusu Play VR Plus Virtual</t>
  </si>
  <si>
    <t>Amazon Brand - Solimo Fast</t>
  </si>
  <si>
    <t>Synqe USB C to USB</t>
  </si>
  <si>
    <t>Shopoflux Silicone Remote Cover for</t>
  </si>
  <si>
    <t>EYNK Extra Long Micro USB</t>
  </si>
  <si>
    <t>LUNAGARIYA®, Protective Case Compatible with</t>
  </si>
  <si>
    <t>7SEVEN® Compatible with Fire Tv</t>
  </si>
  <si>
    <t>PRUSHTI COVER AND BAGS, Protective</t>
  </si>
  <si>
    <t>Aine HDMI Male to VGA</t>
  </si>
  <si>
    <t>Mi 80 cm (32 inches)</t>
  </si>
  <si>
    <t>TCL 108 cm (43 inches)</t>
  </si>
  <si>
    <t>REDTECH USB-C to Lightning Cable</t>
  </si>
  <si>
    <t>OnePlus 163.8 cm (65 inches)</t>
  </si>
  <si>
    <t>AmazonBasics 108 cm (43 inches)</t>
  </si>
  <si>
    <t>Synqe Type C to Type</t>
  </si>
  <si>
    <t>Airtel DigitalTV HD Setup Box</t>
  </si>
  <si>
    <t>ESR USB C to Lightning</t>
  </si>
  <si>
    <t>MI 138.8 cm (55 inches)</t>
  </si>
  <si>
    <t>Storite USB Extension Cable USB</t>
  </si>
  <si>
    <t>MI Power Bank 3i 20000mAh</t>
  </si>
  <si>
    <t>Redmi A1 (Light Blue, 2GB</t>
  </si>
  <si>
    <t>OnePlus Nord 2T 5G (Jade</t>
  </si>
  <si>
    <t>OnePlus Nord 2T 5G (Gray</t>
  </si>
  <si>
    <t>Redmi A1 (Black, 2GB RAM,</t>
  </si>
  <si>
    <t>Redmi A1 (Light Green, 2GB</t>
  </si>
  <si>
    <t>Samsung Galaxy M04 Dark Blue,</t>
  </si>
  <si>
    <t>PTron Tangentbeat in-Ear Bluetooth 5.0</t>
  </si>
  <si>
    <t>Redmi 10A (Charcoal Black, 4GB</t>
  </si>
  <si>
    <t>boAt Bassheads 100 in Ear</t>
  </si>
  <si>
    <t>SanDisk Ultra® microSDXC™ UHS-I Card,</t>
  </si>
  <si>
    <t>Samsung Galaxy M04 Light Green,</t>
  </si>
  <si>
    <t>MI 10000mAh Lithium Ion, Lithium</t>
  </si>
  <si>
    <t>Mi 10000mAH Li-Polymer, Micro-USB and</t>
  </si>
  <si>
    <t>ELV Car Mount Adjustable Car</t>
  </si>
  <si>
    <t>Samsung 25W USB Travel Adapter</t>
  </si>
  <si>
    <t>Samsung Galaxy M33 5G (Mystique</t>
  </si>
  <si>
    <t>Samsung Galaxy M33 5G (Emerald</t>
  </si>
  <si>
    <t>iQOO vivo Z6 5G (Chromatic</t>
  </si>
  <si>
    <t>Redmi 9 Activ (Carbon Black,</t>
  </si>
  <si>
    <t>Redmi 9A Sport (Coral Green,</t>
  </si>
  <si>
    <t>Fire-Boltt Ninja Call Pro Plus</t>
  </si>
  <si>
    <t>Redmi 10A (Sea Blue, 4GB</t>
  </si>
  <si>
    <t>AGARO Blaze USB 3.0 to</t>
  </si>
  <si>
    <t>Redmi 10A (Slate Grey, 4GB</t>
  </si>
  <si>
    <t>Duracell 38W Fast Car Charger</t>
  </si>
  <si>
    <t>realme narzo 50 (Speed Blue,</t>
  </si>
  <si>
    <t>WeCool Bluetooth Extendable Selfie Sticks</t>
  </si>
  <si>
    <t>OPPO A74 5G (Fantastic Purple,6GB</t>
  </si>
  <si>
    <t>Samsung Original 25W USB Travel</t>
  </si>
  <si>
    <t>realme Buds Classic Wired in</t>
  </si>
  <si>
    <t>iQOO Neo 6 5G (Dark</t>
  </si>
  <si>
    <t>Portronics Adapto 20 Type C</t>
  </si>
  <si>
    <t>iQOO Z6 44W by vivo</t>
  </si>
  <si>
    <t>Fire-Boltt Gladiator 1.96 Biggest Display"</t>
  </si>
  <si>
    <t>STRIFF PS2_01 Multi Angle Mobile/Tablet</t>
  </si>
  <si>
    <t>Samsung Galaxy Buds Live Bluetooth</t>
  </si>
  <si>
    <t>PTron Boom Ultima 4D Dual</t>
  </si>
  <si>
    <t>Samsung Galaxy M13 (Aqua Green,</t>
  </si>
  <si>
    <t>OnePlus 10R 5G (Forest Green,</t>
  </si>
  <si>
    <t>Ambrane Mobile Holding Stand, 180°</t>
  </si>
  <si>
    <t>Ambrane 10000mAh Slim Power Bank,</t>
  </si>
  <si>
    <t>Nokia 105 Single SIM, Keypad</t>
  </si>
  <si>
    <t>PTron Tangent Lite Bluetooth 5.0</t>
  </si>
  <si>
    <t>Samsung EVO Plus 64GB microSDXC</t>
  </si>
  <si>
    <t>Samsung Galaxy M13 (Midnight Blue,</t>
  </si>
  <si>
    <t>MI Xiaomi 22.5W Fast USB</t>
  </si>
  <si>
    <t>Redmi Note 11 (Space Black,</t>
  </si>
  <si>
    <t>USB Charger, Oraimo Elite Dual</t>
  </si>
  <si>
    <t>Goldmedal Curve Plus 202042 Plastic</t>
  </si>
  <si>
    <t>WeCool C1 Car Mobile Holder</t>
  </si>
  <si>
    <t>iQOO Z6 Lite 5G by</t>
  </si>
  <si>
    <t>Redmi Note 11 Pro +</t>
  </si>
  <si>
    <t>boAt Bassheads 242 in Ear</t>
  </si>
  <si>
    <t>Portronics MODESK POR-122 Universal Mobile</t>
  </si>
  <si>
    <t>realme narzo 50i (Mint Green,</t>
  </si>
  <si>
    <t>MI 10000mAh 3i Lithium Polymer</t>
  </si>
  <si>
    <t>Nokia 105 Plus Single SIM,</t>
  </si>
  <si>
    <t>Samsung Galaxy M13 (Stardust Brown,</t>
  </si>
  <si>
    <t>OPPO A74 5G (Fluid Black,</t>
  </si>
  <si>
    <t>Spigen EZ Fit Tempered Glass</t>
  </si>
  <si>
    <t>iQOO Z6 Pro 5G by</t>
  </si>
  <si>
    <t>MI 33W SonicCharge 2.0 USB</t>
  </si>
  <si>
    <t>OPPO A31 (Mystery Black, 6GB</t>
  </si>
  <si>
    <t>Motorola a10 Dual Sim keypad</t>
  </si>
  <si>
    <t>boAt Wave Call Smart Watch,</t>
  </si>
  <si>
    <t>Portronics CarPower Mini Car Charger</t>
  </si>
  <si>
    <t>boAt Newly Launched Wave Electra</t>
  </si>
  <si>
    <t>iQOO vivo Z6 5G (Dynamo</t>
  </si>
  <si>
    <t>Samsung Ehs64 Ehs64Avfwecinu Hands-Free Wired</t>
  </si>
  <si>
    <t>SWAPKART Flexible Mobile Tabletop Stand,</t>
  </si>
  <si>
    <t>Redmi 9A Sport (Carbon Black,</t>
  </si>
  <si>
    <t>Amozo Ultra Hybrid Camera and</t>
  </si>
  <si>
    <t>ELV Aluminum Adjustable Mobile Phone</t>
  </si>
  <si>
    <t>Tecno Spark 9 (Sky Mirror,</t>
  </si>
  <si>
    <t>JBL C100SI Wired In Ear</t>
  </si>
  <si>
    <t>Samsung Galaxy M13 5G (Aqua</t>
  </si>
  <si>
    <t>Tukzer Capacitive Stylus Pen for</t>
  </si>
  <si>
    <t>Mi 10W Wall Charger for</t>
  </si>
  <si>
    <t>Noise ColorFit Pro 4 Alpha</t>
  </si>
  <si>
    <t>Elv Mobile Phone Mount Tabletop</t>
  </si>
  <si>
    <t>Redmi 11 Prime 5G (Meadow</t>
  </si>
  <si>
    <t>PTron Newly Launched Force X10</t>
  </si>
  <si>
    <t>Portronics CLAMP X Car-Vent Mobile</t>
  </si>
  <si>
    <t>pTron Volta Dual Port 12W</t>
  </si>
  <si>
    <t>boAt Wave Lite Smartwatch with</t>
  </si>
  <si>
    <t>Samsung Galaxy M32 Prime Edition</t>
  </si>
  <si>
    <t>Redmi Note 11T 5G (Matte</t>
  </si>
  <si>
    <t>Noise Pulse 2 Max Advanced</t>
  </si>
  <si>
    <t>Myvn 30W Warp/20W Dash Charging</t>
  </si>
  <si>
    <t>Redmi Note 11T 5G (Aquamarine</t>
  </si>
  <si>
    <t>Newly Launched Boult Dive+ with</t>
  </si>
  <si>
    <t>OnePlus Nord Watch with 1.78”</t>
  </si>
  <si>
    <t>Noise Agile 2 Buzz Bluetooth</t>
  </si>
  <si>
    <t>Flix (Beetel) Bolt 2.4 12W</t>
  </si>
  <si>
    <t>Kyosei Advanced Tempered Glass Compatible</t>
  </si>
  <si>
    <t>STRIFF 12 Pieces Highly Flexible</t>
  </si>
  <si>
    <t>Redmi 11 Prime 5G (Thunder</t>
  </si>
  <si>
    <t>Samsung Original EHS64 Wired in</t>
  </si>
  <si>
    <t>STRIFF Multi Angle Tablet/Mobile Stand.</t>
  </si>
  <si>
    <t>WeCool B1 Mobile Holder for</t>
  </si>
  <si>
    <t>Sounce 360 Adjustable Mobile Phone</t>
  </si>
  <si>
    <t>OpenTech® Military-Grade Tempered Glass Screen</t>
  </si>
  <si>
    <t>EN LIGNE Adjustable Cell Phone</t>
  </si>
  <si>
    <t>Tecno Spark 8T (Turquoise Cyan,</t>
  </si>
  <si>
    <t>URBN 20000 mAh Lithium_Polymer 22.5W</t>
  </si>
  <si>
    <t>Redmi Note 11T 5G (Stardust</t>
  </si>
  <si>
    <t>OnePlus 10T 5G (Moonstone Black,</t>
  </si>
  <si>
    <t>Noise ColorFit Ultra SE Smart</t>
  </si>
  <si>
    <t>SanDisk Ultra microSD UHS-I Card</t>
  </si>
  <si>
    <t>iPhone Original 20W C Type</t>
  </si>
  <si>
    <t>Nokia 8210 4G Volte keypad</t>
  </si>
  <si>
    <t>Sounce Protective Case Cover Compatible</t>
  </si>
  <si>
    <t>Samsung Galaxy M53 5G (Deep</t>
  </si>
  <si>
    <t>iQOO 9 SE 5G (Sunset</t>
  </si>
  <si>
    <t>SHREENOVA ID116 Plus Bluetooth Fitness</t>
  </si>
  <si>
    <t>POCO C31 (Shadow Gray, 64</t>
  </si>
  <si>
    <t>Noise_Colorfit Smart Watch Charger 2</t>
  </si>
  <si>
    <t>POPIO Tempered Glass Screen Protector</t>
  </si>
  <si>
    <t>10WeRun Id-116 Bluetooth Smartwatch Wireless</t>
  </si>
  <si>
    <t>Tokdis MX-1 Pro Bluetooth Calling</t>
  </si>
  <si>
    <t>URBN 20000 mAh lithium_polymer Power</t>
  </si>
  <si>
    <t>Noise ColorFit Ultra 2 Buzz</t>
  </si>
  <si>
    <t>Redmi Note 11 (Horizon Blue,</t>
  </si>
  <si>
    <t>Spigen Ultra Hybrid Back Cover</t>
  </si>
  <si>
    <t>LAPSTER 12pcs Spiral Cable Protectors</t>
  </si>
  <si>
    <t>MI REDMI 9i Sport (Carbon</t>
  </si>
  <si>
    <t>Fire-Boltt Ninja 3 Smartwatch Full</t>
  </si>
  <si>
    <t>Lava A1 Josh 21(Blue Silver)</t>
  </si>
  <si>
    <t>POPIO Tempered Glass Compatible for</t>
  </si>
  <si>
    <t>FLiX Usb Charger,Flix (Beetel) Bolt</t>
  </si>
  <si>
    <t>Prolet Classic Bumper Case Cover</t>
  </si>
  <si>
    <t>Samsung Galaxy S20 FE 5G</t>
  </si>
  <si>
    <t>POCO C31 (Royal Blue, 64</t>
  </si>
  <si>
    <t>Noise ColorFit Pulse Grand Smart</t>
  </si>
  <si>
    <t>Amazon Basics 2 Amp USB</t>
  </si>
  <si>
    <t>Mobilife Bluetooth Extendable Selfie Stick</t>
  </si>
  <si>
    <t>Ambrane 27000mAh Power Bank, 20W</t>
  </si>
  <si>
    <t>STRIFF Wall Mount Phone Holder</t>
  </si>
  <si>
    <t>Fire-Boltt Tank 1.85 Bluetooth Calling"</t>
  </si>
  <si>
    <t>Elv Aluminium Adjustable Mobile Phone</t>
  </si>
  <si>
    <t>Samsung Galaxy M13 5G (Stardust</t>
  </si>
  <si>
    <t>DYAZO USB 3.0 Type C</t>
  </si>
  <si>
    <t>boAt BassHeads 100 in-Ear Wired</t>
  </si>
  <si>
    <t>boAt Airdopes 141 Bluetooth Truly</t>
  </si>
  <si>
    <t>SanDisk Cruzer Blade 32GB USB</t>
  </si>
  <si>
    <t>Logitech B170 Wireless Mouse, 2.4</t>
  </si>
  <si>
    <t>Storio Kids Toys LCD Writing</t>
  </si>
  <si>
    <t>boAt Airdopes 121v2 in-Ear True</t>
  </si>
  <si>
    <t>SKE Bed Study Table Portable</t>
  </si>
  <si>
    <t>boAt Rockerz 255 Pro+ in-Ear</t>
  </si>
  <si>
    <t>STRIFF Adjustable Laptop Tabletop Stand</t>
  </si>
  <si>
    <t>ZEBRONICS Zeb-Bro in Ear Wired</t>
  </si>
  <si>
    <t>boAt Rockerz 450 Bluetooth On</t>
  </si>
  <si>
    <t>JBL C50HI, Wired in Ear</t>
  </si>
  <si>
    <t>LAPSTER Spiral Charger Spiral Charger</t>
  </si>
  <si>
    <t>HP v236w USB 2.0 64GB</t>
  </si>
  <si>
    <t>HP X1000 Wired USB Mouse</t>
  </si>
  <si>
    <t>Portronics Toad 23 Wireless Optical</t>
  </si>
  <si>
    <t>Boult Audio BassBuds X1 in-Ear</t>
  </si>
  <si>
    <t>Dell KB216 Wired Multimedia USB</t>
  </si>
  <si>
    <t>Dell MS116 1000Dpi USB Wired</t>
  </si>
  <si>
    <t>Boya ByM1 Auxiliary Omnidirectional Lavalier</t>
  </si>
  <si>
    <t>Duracell Ultra Alkaline AA Battery,</t>
  </si>
  <si>
    <t>Classmate Octane Neon- Blue Gel</t>
  </si>
  <si>
    <t>3M Scotch Double Sided Heavy</t>
  </si>
  <si>
    <t>boAt Bassheads 152 in Ear</t>
  </si>
  <si>
    <t>boAt BassHeads 122 Wired Earphones</t>
  </si>
  <si>
    <t>Dell USB Wireless Keyboard and</t>
  </si>
  <si>
    <t>Seagate Expansion 1TB External HDD</t>
  </si>
  <si>
    <t>HP w100 480P 30 FPS</t>
  </si>
  <si>
    <t>ZEBRONICS Zeb-Dash Plus 2.4GHz High</t>
  </si>
  <si>
    <t>Zebronics Zeb-Companion 107 USB Wireless</t>
  </si>
  <si>
    <t>SYVO WT 3130 Aluminum Tripod</t>
  </si>
  <si>
    <t>Boult Audio Airbass Z20 True</t>
  </si>
  <si>
    <t>SanDisk Ultra Flair 64GB USB</t>
  </si>
  <si>
    <t>boAt Rockerz 330 in-Ear Bluetooth</t>
  </si>
  <si>
    <t>Casio FX-991ES Plus-2nd Edition Scientific</t>
  </si>
  <si>
    <t>TP-Link AC750 Wifi Range Extender</t>
  </si>
  <si>
    <t>DIGITEK® (DTR 260 GT) Gorilla</t>
  </si>
  <si>
    <t>HP 805 Black Original Ink</t>
  </si>
  <si>
    <t>GIZGA essentials Universal Silicone Keyboard</t>
  </si>
  <si>
    <t>SanDisk Ultra 128 GB USB</t>
  </si>
  <si>
    <t>Boult Audio ZCharge Bluetooth Wireless</t>
  </si>
  <si>
    <t>Dell WM118 Wireless Mouse, 2.4</t>
  </si>
  <si>
    <t>Boult Audio AirBass PowerBuds with</t>
  </si>
  <si>
    <t>Eveready 1015 Carbon Zinc AA</t>
  </si>
  <si>
    <t>Zebronics Zeb-Transformer-M Optical USB Gaming</t>
  </si>
  <si>
    <t>PIDILITE Fevicryl Acrylic Colours Sunflower</t>
  </si>
  <si>
    <t>STRIFF Mpad Mouse Mat 230X190X3mm</t>
  </si>
  <si>
    <t>Gizga Essentials Hard Drive Case</t>
  </si>
  <si>
    <t>Boult Audio FXCharge with ENC,</t>
  </si>
  <si>
    <t>Boult Audio Probass Curve Bluetooth</t>
  </si>
  <si>
    <t>Casio FX-82MS 2nd Gen Non-Programmable</t>
  </si>
  <si>
    <t>Tygot 10 Inches Big LED</t>
  </si>
  <si>
    <t>HP X200 Wireless Mouse with</t>
  </si>
  <si>
    <t>Oakter Mini UPS for 12V</t>
  </si>
  <si>
    <t>TP-Link Archer AC1200 Archer C6</t>
  </si>
  <si>
    <t>boAt Rockerz 550 Over Ear</t>
  </si>
  <si>
    <t>Xiaomi Mi Wired in Ear</t>
  </si>
  <si>
    <t>Zodo 8. 5 inch LCD</t>
  </si>
  <si>
    <t>Zebronics ZEB-KM2100 Multimedia USB Keyboard</t>
  </si>
  <si>
    <t>ZEBRONICS Zeb-Comfort Wired USB Mouse,</t>
  </si>
  <si>
    <t>boAt Rockerz 370 On Ear</t>
  </si>
  <si>
    <t>ZEBRONICS Zeb-Astra 20 Wireless BT</t>
  </si>
  <si>
    <t>Panasonic CR-2032/5BE Lithium Coin Battery</t>
  </si>
  <si>
    <t>MemeHo® Smart Standard Multi-Purpose Laptop</t>
  </si>
  <si>
    <t>SanDisk Ultra Dual Drive Go</t>
  </si>
  <si>
    <t>Tizum Mouse Pad/ Computer Mouse</t>
  </si>
  <si>
    <t>Epson 003 65 ml for</t>
  </si>
  <si>
    <t>ZEBRONICS Zeb-Thunder Bluetooth Wireless Over</t>
  </si>
  <si>
    <t>Quantum QHM-7406 Full-Sized Keyboard with</t>
  </si>
  <si>
    <t>STRIFF Laptop Tabletop Stand, Fold-Up,</t>
  </si>
  <si>
    <t>Logitech M221 Wireless Mouse, Silent</t>
  </si>
  <si>
    <t>Classmate Soft Cover 6 Subject</t>
  </si>
  <si>
    <t>HP 150 Wireless USB Mouse</t>
  </si>
  <si>
    <t>Duracell Rechargeable AA 1300mAh Batteries,</t>
  </si>
  <si>
    <t>boAt Airdopes 181 in-Ear True</t>
  </si>
  <si>
    <t>TP-Link USB Bluetooth Adapter for</t>
  </si>
  <si>
    <t>SanDisk Ultra Dual Drive Luxe</t>
  </si>
  <si>
    <t>rts [2 Pack] Mini USB</t>
  </si>
  <si>
    <t>HP 682 Black Original Ink</t>
  </si>
  <si>
    <t>Logitech H111 Wired On Ear</t>
  </si>
  <si>
    <t>Digitek DTR 550 LW (67</t>
  </si>
  <si>
    <t>TP-Link TL-WA850RE Single_Band 300Mbps RJ45</t>
  </si>
  <si>
    <t>COI Note Pad/Memo Book with</t>
  </si>
  <si>
    <t>Fujifilm Instax Mini Single Pack</t>
  </si>
  <si>
    <t>Samsung Galaxy Watch4 Bluetooth(4.4 cm,</t>
  </si>
  <si>
    <t>Noise Buds Vs104 Bluetooth Truly</t>
  </si>
  <si>
    <t>Duracell Ultra Alkaline AAA Battery,</t>
  </si>
  <si>
    <t>JBL C200SI, Premium in Ear</t>
  </si>
  <si>
    <t>Acer EK220Q 21.5 Inch (54.61</t>
  </si>
  <si>
    <t>boAt Dual Port Rapid Car</t>
  </si>
  <si>
    <t>Zebronics ZEB-COUNTY 3W Wireless Bluetooth</t>
  </si>
  <si>
    <t>Zebronics Wired Keyboard and Mouse</t>
  </si>
  <si>
    <t>JBL Tune 215BT, 16 Hrs</t>
  </si>
  <si>
    <t>Gizga Essentials Professional 3-in-1 Cleaning</t>
  </si>
  <si>
    <t>SanDisk Ultra Dual 64 GB</t>
  </si>
  <si>
    <t>TP-Link Tapo 360° 2MP 1080p</t>
  </si>
  <si>
    <t>boAt Airdopes 171 in Ear</t>
  </si>
  <si>
    <t>Duracell Plus AAA Rechargeable Batteries</t>
  </si>
  <si>
    <t>Logitech B100 Wired USB Mouse,</t>
  </si>
  <si>
    <t>Noise Pulse Buzz 1.69 Bluetooth"</t>
  </si>
  <si>
    <t>Classmate 2100117 Soft Cover 6</t>
  </si>
  <si>
    <t>AirCase Rugged Hard Drive Case</t>
  </si>
  <si>
    <t>Noise Buds VS402 Truly Wireless</t>
  </si>
  <si>
    <t>JBL Go 2, Wireless Portable</t>
  </si>
  <si>
    <t>Robustrion Tempered Glass Screen Protector</t>
  </si>
  <si>
    <t>Redgear Pro Wireless Gamepad with</t>
  </si>
  <si>
    <t>Logitech M235 Wireless Mouse, 1000</t>
  </si>
  <si>
    <t>TP-link N300 WiFi Wireless Router</t>
  </si>
  <si>
    <t>Logitech MK240 Nano Wireless USB</t>
  </si>
  <si>
    <t>Callas Multipurpose Foldable Laptop Table</t>
  </si>
  <si>
    <t>Casio MJ-12D 150 Steps Check</t>
  </si>
  <si>
    <t>Amazon Basics Multipurpose Foldable Laptop</t>
  </si>
  <si>
    <t>Kanget [2 Pack] Type C</t>
  </si>
  <si>
    <t>Amazon Basics Magic Slate 8.5-inch</t>
  </si>
  <si>
    <t>Zebronics ZEB-90HB USB Hub, 4</t>
  </si>
  <si>
    <t>Noise ColorFit Pro 2 Full</t>
  </si>
  <si>
    <t>Zebronics Zeb Buds C2 in</t>
  </si>
  <si>
    <t>Redgear A-15 Wired Gaming Mouse</t>
  </si>
  <si>
    <t>JBL Commercial CSLM20B Auxiliary Omnidirectional</t>
  </si>
  <si>
    <t>Fire-Boltt India's No 1 Smartwatch</t>
  </si>
  <si>
    <t>Eveready Red 1012 AAA Batteries</t>
  </si>
  <si>
    <t>SanDisk Extreme microSD UHS I</t>
  </si>
  <si>
    <t>Portronics MPORT 31C 4-in-1 USB</t>
  </si>
  <si>
    <t>Infinity (JBL Fuze Pint, Wireless</t>
  </si>
  <si>
    <t>AirCase Protective Laptop Bag Sleeve</t>
  </si>
  <si>
    <t>Brand Conquer 6 in 1</t>
  </si>
  <si>
    <t>TP-Link AC750 Dual Band Wireless</t>
  </si>
  <si>
    <t>STRIFF Laptop Stand Adjustable Laptop</t>
  </si>
  <si>
    <t>Logitech MK215 Wireless Keyboard and</t>
  </si>
  <si>
    <t>boAt Bassheads 225 in Ear</t>
  </si>
  <si>
    <t>Duracell Chhota Power AA Battery</t>
  </si>
  <si>
    <t>Zebronics Zeb-Transformer Gaming Keyboard and</t>
  </si>
  <si>
    <t>SanDisk Ultra 64 GB USB</t>
  </si>
  <si>
    <t>Parker Classic Gold Gold Trim</t>
  </si>
  <si>
    <t>Tarkan Portable Folding Laptop Desk</t>
  </si>
  <si>
    <t>Quantum RJ45 Ethernet Patch Cable/LAN</t>
  </si>
  <si>
    <t>HP USB Wireless Spill Resistance</t>
  </si>
  <si>
    <t>HUMBLE Dynamic Lapel Collar Mic</t>
  </si>
  <si>
    <t>Boult Audio Omega with 30dB</t>
  </si>
  <si>
    <t>STRIFF UPH2W Multi Angle Tablet/Mobile</t>
  </si>
  <si>
    <t>Amazon Basics Wireless Mouse |</t>
  </si>
  <si>
    <t>Crucial RAM 8GB DDR4 3200MHz</t>
  </si>
  <si>
    <t>APC Back-UPS BX600C-IN 600VA /</t>
  </si>
  <si>
    <t>Luxor 5 Subject Single Ruled</t>
  </si>
  <si>
    <t>Zebronics Zeb-Jaguar Wireless Mouse, 2.4GHz</t>
  </si>
  <si>
    <t>Boult Audio Truebuds with 30H</t>
  </si>
  <si>
    <t>Wembley LCD Writing Pad/Tab |</t>
  </si>
  <si>
    <t>Gizga Essentials Multi-Purpose Portable &amp;</t>
  </si>
  <si>
    <t>E-COSMOS Plug in LED Night</t>
  </si>
  <si>
    <t>Noise Buds VS201 V2 in-Ear</t>
  </si>
  <si>
    <t>Lapster Gel Mouse pad with</t>
  </si>
  <si>
    <t>Gizga Essentials Earphone Carrying Case,</t>
  </si>
  <si>
    <t>SanDisk Ultra SDHC UHS-I Card</t>
  </si>
  <si>
    <t>DIGITEK® (DRL-14C) Professional (31cm) Dual</t>
  </si>
  <si>
    <t>Classmate Long Notebook - 140</t>
  </si>
  <si>
    <t>Lenovo 300 Wired Plug &amp;</t>
  </si>
  <si>
    <t>Dyazo 6 Angles Adjustable Aluminum</t>
  </si>
  <si>
    <t>Western Digital WD 2TB My</t>
  </si>
  <si>
    <t>Logitech C270 Digital HD Webcam</t>
  </si>
  <si>
    <t>Portronics MPORT 31 4 Ports</t>
  </si>
  <si>
    <t>Zinq Five Fan Cooling Pad</t>
  </si>
  <si>
    <t>Gizga Essentials Webcam Cover, Privacy</t>
  </si>
  <si>
    <t>HP Z3700 Wireless Optical Mouse</t>
  </si>
  <si>
    <t>MAONO AU-400 Lavalier Auxiliary Omnidirectional</t>
  </si>
  <si>
    <t>TABLE MAGIC Multipurpose Laptop Table</t>
  </si>
  <si>
    <t>GIZGA Essentials Portable Tabletop Tablet</t>
  </si>
  <si>
    <t>boAt Stone 650 10W Bluetooth</t>
  </si>
  <si>
    <t>ESnipe Mart Worldwide Travel Adapter</t>
  </si>
  <si>
    <t>boAt Stone 180 5W Bluetooth</t>
  </si>
  <si>
    <t>Portronics Ruffpad 8.5M Multicolor LCD</t>
  </si>
  <si>
    <t>BRUSTRO Copytinta Coloured Craft Paper</t>
  </si>
  <si>
    <t>Cuzor 12V Mini ups for</t>
  </si>
  <si>
    <t>Crucial BX500 240GB 3D NAND</t>
  </si>
  <si>
    <t>Classmate Pulse Spiral Notebook -</t>
  </si>
  <si>
    <t>Portronics My buddy plus Adjustable</t>
  </si>
  <si>
    <t>ZEBRONICS Zeb-Evolve Wireless in Ear</t>
  </si>
  <si>
    <t>INOVERA World Map Extended Anti</t>
  </si>
  <si>
    <t>Seagate One Touch 2TB External</t>
  </si>
  <si>
    <t>ZEBRONICS Zeb-Fame 5watts 2.0 Multi</t>
  </si>
  <si>
    <t>TVARA LCD Writing Tablet 8.5</t>
  </si>
  <si>
    <t>Western Digital WD 1.5TB Elements</t>
  </si>
  <si>
    <t>Redgear MP35 Speed-Type Gaming Mousepad</t>
  </si>
  <si>
    <t>Lenovo 400 Wireless Mouse, 1200DPI</t>
  </si>
  <si>
    <t>Logitech K480 Wireless Multi-Device Keyboard</t>
  </si>
  <si>
    <t>RESONATE RouterUPS CRU12V2A | Zero</t>
  </si>
  <si>
    <t>3M Post-it Sticky Note Cube,</t>
  </si>
  <si>
    <t>OFIXO Multi-Purpose Laptop Table/Study Table/Bed</t>
  </si>
  <si>
    <t>Fire-Boltt Ninja Calling 1.69 Bluetooth"</t>
  </si>
  <si>
    <t>Airtel AMF-311WW Data Card (Black),</t>
  </si>
  <si>
    <t>Gizga Essentials Laptop Power Cable</t>
  </si>
  <si>
    <t>Logitech MK270r USB Wireless Keyboard</t>
  </si>
  <si>
    <t>DIGITEK® (DTR-200MT) (18 CM) Portable</t>
  </si>
  <si>
    <t>FEDUS Cat6 Ethernet Cable, 10</t>
  </si>
  <si>
    <t>Kingston DataTraveler Exodia DTX/32 GB</t>
  </si>
  <si>
    <t>Duracell Rechargeable AA 2500mAh Batteries,</t>
  </si>
  <si>
    <t>ENVIE® (AA10004PLNi-CD) AA Rechargeable Batteries,</t>
  </si>
  <si>
    <t>ZEBRONICS Zeb-Buds 30 3.5Mm Stereo</t>
  </si>
  <si>
    <t>LAPSTER Accessories Power Cable Cord</t>
  </si>
  <si>
    <t>Portronics Ruffpad 12E Re-Writable LCD</t>
  </si>
  <si>
    <t>Verilux® USB C Hub Multiport</t>
  </si>
  <si>
    <t>Zebronics Zeb Wonderbar 10 USB</t>
  </si>
  <si>
    <t>HP Wired Mouse 100 with</t>
  </si>
  <si>
    <t>Anjaney Enterprise Smart Multipurpose Foldable</t>
  </si>
  <si>
    <t>ENVIE ECR-20 Charger for AA</t>
  </si>
  <si>
    <t>ProElite Faux Leather Smart Flip</t>
  </si>
  <si>
    <t>Classmate Pulse 6 Subject Notebook</t>
  </si>
  <si>
    <t>Pentonic Multicolor Ball Point Pen,</t>
  </si>
  <si>
    <t>Logitech Pebble M350 Wireless Mouse</t>
  </si>
  <si>
    <t>Apsara Platinum Pencils Value Pack</t>
  </si>
  <si>
    <t>Zebronics Zeb-Power Wired USB Mouse,</t>
  </si>
  <si>
    <t>Ant Esports GM320 RGB Optical</t>
  </si>
  <si>
    <t>Pilot V7 Liquid Ink Roller</t>
  </si>
  <si>
    <t>boAt Airdopes 191G True Wireless</t>
  </si>
  <si>
    <t>Boult Audio BassBuds Oak in-Ear</t>
  </si>
  <si>
    <t>IT2M Designer Mouse Pad for</t>
  </si>
  <si>
    <t>Noise ColorFit Ultra Buzz Bluetooth</t>
  </si>
  <si>
    <t>Lapster Caddy for ssd and</t>
  </si>
  <si>
    <t>SanDisk Extreme SD UHS I</t>
  </si>
  <si>
    <t>Fire-Boltt Ring Pro Bluetooth Calling,</t>
  </si>
  <si>
    <t>Lenovo 600 Bluetooth 5.0 Silent</t>
  </si>
  <si>
    <t>Boult Audio Airbass Propods X</t>
  </si>
  <si>
    <t>LS LAPSTER Quality Assured Universal</t>
  </si>
  <si>
    <t>KLAM LCD Writing Tablet Screenwriting</t>
  </si>
  <si>
    <t>CP PLUS 2MP Full HD</t>
  </si>
  <si>
    <t>HP Deskjet 2331 Colour Printer,</t>
  </si>
  <si>
    <t>D-Link DIR-615 Wi-fi Ethernet-N300 Single_band</t>
  </si>
  <si>
    <t>RPM Euro Games Gaming Mousepad</t>
  </si>
  <si>
    <t>Wacom One by CTL-472/K0-CX Digital</t>
  </si>
  <si>
    <t>Lenovo 300 FHD Webcam with</t>
  </si>
  <si>
    <t>Sony WI-C100 Wireless Headphones with</t>
  </si>
  <si>
    <t>Zebronics, ZEB-NC3300 USB Powered Laptop</t>
  </si>
  <si>
    <t>Tukzer Gel Mouse Pad Wrist</t>
  </si>
  <si>
    <t>Infinity (JBL Glide 510, 72</t>
  </si>
  <si>
    <t>Robustrion Smart Trifold Hard Back</t>
  </si>
  <si>
    <t>Logitech M331 Silent Plus Wireless</t>
  </si>
  <si>
    <t>Camel Artist Acrylic Color Box</t>
  </si>
  <si>
    <t>Portronics Key2 Combo Multimedia USB</t>
  </si>
  <si>
    <t>SupCares Laptop Stand 7 Height</t>
  </si>
  <si>
    <t>ZEBRONICS Zeb-Sound Bomb N1 True</t>
  </si>
  <si>
    <t>Western Digital WD Green SATA</t>
  </si>
  <si>
    <t>Classmate Octane Neon- 25 Blue</t>
  </si>
  <si>
    <t>Classmate Octane Colour Burst-Multicolour Gel</t>
  </si>
  <si>
    <t>Tukzer Stylus Pen, iPad Pencil</t>
  </si>
  <si>
    <t>Logitech G102 USB Light Sync</t>
  </si>
  <si>
    <t>Zebronics ZEB-VITA Wireless Bluetooth 10W</t>
  </si>
  <si>
    <t>Lapster USB 3.0 sata Cable</t>
  </si>
  <si>
    <t>URBN 10000 mAh Lithium Power</t>
  </si>
  <si>
    <t>Qubo Smart Cam 360 from</t>
  </si>
  <si>
    <t>Duracell CR2025 3V Lithium Coin</t>
  </si>
  <si>
    <t>Camel Fabrica Acrylic Ultra Color</t>
  </si>
  <si>
    <t>Lenovo GX20L29764 65W Laptop Adapter/Charger</t>
  </si>
  <si>
    <t>Hp Wired On Ear Headphones</t>
  </si>
  <si>
    <t>Redragon K617 Fizz 60% Wired</t>
  </si>
  <si>
    <t>HP GT 53 XL Cartridge</t>
  </si>
  <si>
    <t>Noise ColorFit Ultra Smart Watch</t>
  </si>
  <si>
    <t>Zebronics Zeb-JUKEBAR 3900, 80W Multimedia</t>
  </si>
  <si>
    <t>boAt Bassheads 102 Wired in</t>
  </si>
  <si>
    <t>Duracell CR2016 3V Lithium Coin</t>
  </si>
  <si>
    <t>MI 360° Home Security Wireless</t>
  </si>
  <si>
    <t>ZEBRONICS Zeb-100HB 4 Ports USB</t>
  </si>
  <si>
    <t>Boult Audio Bass Buds Q2</t>
  </si>
  <si>
    <t>ESR Screen Protector Compatible with</t>
  </si>
  <si>
    <t>Parker Vector Standard Chrome Trim</t>
  </si>
  <si>
    <t>Silicone Rubber Earbuds Tips, Eartips,</t>
  </si>
  <si>
    <t>Canon PIXMA MG2577s All-in-One Inkjet</t>
  </si>
  <si>
    <t>Samsung 24-inch(60.46cm) FHD Monitor, IPS,</t>
  </si>
  <si>
    <t>Faber-Castell Connector Pen Set -</t>
  </si>
  <si>
    <t>Zinq UPS for Router, Mini</t>
  </si>
  <si>
    <t>SaleOn™ Portable Storage Organizer Bag</t>
  </si>
  <si>
    <t>RPM Euro Games Laptop/PC Controller</t>
  </si>
  <si>
    <t>realme Buds Wireless in Ear</t>
  </si>
  <si>
    <t>TVARA LCD Writing Tablet, 8.5",Computers&amp;Accessories,354.00,1500.00,76,4.0,1026
B09MDCZJXS,Wings Phantom Pro Earphones Gaming"</t>
  </si>
  <si>
    <t>Robustrion [Anti-Scratch] &amp; [Smudge Proof]</t>
  </si>
  <si>
    <t>Cablet 2.5 Inch SATA USB</t>
  </si>
  <si>
    <t>SanDisk 1TB Extreme Portable SSD</t>
  </si>
  <si>
    <t>ZEBRONICS Zeb-Warrior II 10 watts</t>
  </si>
  <si>
    <t>TP-Link UE300C USB Type-C to</t>
  </si>
  <si>
    <t>Wecool Moonwalk M1 ENC True</t>
  </si>
  <si>
    <t>HP 330 Wireless Black Keyboard</t>
  </si>
  <si>
    <t>RC PRINT GI 790 Ink</t>
  </si>
  <si>
    <t>Redgear Cloak Wired RGB Wired</t>
  </si>
  <si>
    <t>Wayona Type C To Type</t>
  </si>
  <si>
    <t>Amazfit GTS2 Mini (New Version)</t>
  </si>
  <si>
    <t>Tabelito® Polyester Foam, Nylon Hybrid</t>
  </si>
  <si>
    <t>Robustrion Anti-Scratch &amp; Smudge Proof</t>
  </si>
  <si>
    <t>Portronics Ruffpad 15 Re-Writable LCD</t>
  </si>
  <si>
    <t>DIGITEK® (DLS-9FT) Lightweight &amp; Portable</t>
  </si>
  <si>
    <t>Classmate Pulse 1 Subject Notebook</t>
  </si>
  <si>
    <t>Scarters Mouse Pad, Desk Mat</t>
  </si>
  <si>
    <t>Casio MJ-120D 150 Steps Check</t>
  </si>
  <si>
    <t>Gizga Essentials Laptop Bag Sleeve</t>
  </si>
  <si>
    <t>Parker Vector Camouflage Gift Set</t>
  </si>
  <si>
    <t>TP-Link AC1200 Archer A6 Smart</t>
  </si>
  <si>
    <t>HP Deskjet 2723 AIO Printer,</t>
  </si>
  <si>
    <t>Xiaomi Mi 4A Dual_Band Ethernet</t>
  </si>
  <si>
    <t>SLOVIC® Tripod Mount Adapter| Tripod</t>
  </si>
  <si>
    <t>Orico 2.5(6.3cm) USB 3.0 HDD"</t>
  </si>
  <si>
    <t>Logitech G402 Hyperion Fury USB</t>
  </si>
  <si>
    <t>Panasonic Eneloop BQ-CC55N Advanced, Smart</t>
  </si>
  <si>
    <t>Logitech K380 Wireless Multi-Device Keyboard</t>
  </si>
  <si>
    <t>Canon PIXMA E477 All-in-One Wireless</t>
  </si>
  <si>
    <t>Redgear Cosmo 7,1 Usb Gaming</t>
  </si>
  <si>
    <t>Belkin Essential Series 4-Socket Surge</t>
  </si>
  <si>
    <t>Classmate Long Book - Unruled,</t>
  </si>
  <si>
    <t>Artis AR-45W-MG2 45 Watts MG2</t>
  </si>
  <si>
    <t>Imou 360° 1080P Full HD</t>
  </si>
  <si>
    <t>E-COSMOS 5V 1.2W Portable Flexible</t>
  </si>
  <si>
    <t>Xiaomi Pad 5| Qualcomm Snapdragon</t>
  </si>
  <si>
    <t>Sennheiser CX 80S in-Ear Wired</t>
  </si>
  <si>
    <t>HB Plus Folding Height Adjustable</t>
  </si>
  <si>
    <t>HP 65W AC Laptops Charger</t>
  </si>
  <si>
    <t>Tukzer Fully Foldable Tabletop Desktop</t>
  </si>
  <si>
    <t>Gizga Essentials Cable Organiser, Cord</t>
  </si>
  <si>
    <t>Camel Oil Pastel with Reusable</t>
  </si>
  <si>
    <t>HP M270 Backlit USB Wired</t>
  </si>
  <si>
    <t>Foxin FTC 12A / Q2612A</t>
  </si>
  <si>
    <t>PC SQUARE Laptop Tabletop Stand/</t>
  </si>
  <si>
    <t>Lenovo 130 Wireless Compact Mouse,</t>
  </si>
  <si>
    <t>Pilot Frixion Clicker Roller Pen</t>
  </si>
  <si>
    <t>ZEBRONICS Aluminium Alloy Laptop Stand,</t>
  </si>
  <si>
    <t>HP K500F Backlit Membrane Wired</t>
  </si>
  <si>
    <t>GIZGA Club-laptop Neoprene Reversible for</t>
  </si>
  <si>
    <t>Inventis 5V 1.2W Portable Flexible</t>
  </si>
  <si>
    <t>TP-Link TL-WA855RE 300 Mbps Wi-Fi</t>
  </si>
  <si>
    <t>boAt Stone 250 Portable Wireless</t>
  </si>
  <si>
    <t>Offbeat® - DASH 2.4GHz Wireless</t>
  </si>
  <si>
    <t>Classmate Drawing Book - Unruled,</t>
  </si>
  <si>
    <t>HP GK320 Wired Full Size</t>
  </si>
  <si>
    <t>Parker Moments Vector Timecheck Gold</t>
  </si>
  <si>
    <t>Camlin Elegante Fountain Pen -</t>
  </si>
  <si>
    <t>CARECASE® Optical Bay 2nd Hard</t>
  </si>
  <si>
    <t>Canon E4570 All-in-One Wi-Fi Ink</t>
  </si>
  <si>
    <t>Crucial P3 500GB PCIe 3.0</t>
  </si>
  <si>
    <t>HP v222w 64GB USB 2.0</t>
  </si>
  <si>
    <t>Duracell Ultra Alkaline D Battery,</t>
  </si>
  <si>
    <t>BESTOR® LCD Writing Tablet/pad 12</t>
  </si>
  <si>
    <t>Lenovo IdeaPad 3 11th Gen</t>
  </si>
  <si>
    <t>boAt BassHeads 900 On-Ear Wired</t>
  </si>
  <si>
    <t>Zebronics Astra 10 Portable Wireless</t>
  </si>
  <si>
    <t>SWAPKART Portable Flexible Adjustable Eye</t>
  </si>
  <si>
    <t>Infinity (JBL Fuze 100, Wireless</t>
  </si>
  <si>
    <t>USHA Quartz Room Heater with</t>
  </si>
  <si>
    <t>Amazon Brand - Solimo 2000/1000</t>
  </si>
  <si>
    <t>StyleHouse Lint Remover for Woolen</t>
  </si>
  <si>
    <t>beatXP Kitchen Scale Multipurpose Portable</t>
  </si>
  <si>
    <t>Glun Multipurpose Portable Electronic Digital</t>
  </si>
  <si>
    <t>Pigeon Polypropylene Mini Handy and</t>
  </si>
  <si>
    <t>Prestige 1.5 Litre Kettle 1500-watts,</t>
  </si>
  <si>
    <t>Bajaj RHX-2 800-Watt Room Heater</t>
  </si>
  <si>
    <t>Prestige Electric Kettle PKOSS -</t>
  </si>
  <si>
    <t>Pigeon by Stovekraft Cruise 1800</t>
  </si>
  <si>
    <t>Prestige PKGSS 1.7L 1500W Electric</t>
  </si>
  <si>
    <t>SHOPTOSHOP Electric Lint Remover, Best</t>
  </si>
  <si>
    <t>Orpat OEH-1260 2000-Watt Fan Heater</t>
  </si>
  <si>
    <t>PRO365 Indo Mocktails/Coffee Foamer/Cappuccino/Lemonade/Milk Frother</t>
  </si>
  <si>
    <t>Bajaj DX-6 1000W Dry Iron</t>
  </si>
  <si>
    <t>Croma 500W Mixer Grinder with</t>
  </si>
  <si>
    <t>Havells Instanio 3-Litre Instant Geyser</t>
  </si>
  <si>
    <t>Morphy Richards OFR Room Heater,</t>
  </si>
  <si>
    <t>Havells Aqua Plus 1.2 litre</t>
  </si>
  <si>
    <t>Bajaj Splendora 3 Litre 3KW</t>
  </si>
  <si>
    <t>KENT 16052 Elegant Electric Glass</t>
  </si>
  <si>
    <t>Bajaj New Shakti Neo 15L</t>
  </si>
  <si>
    <t>Lifelong LLMG23 Power Pro 500-Watt</t>
  </si>
  <si>
    <t>Bajaj Majesty DX-11 1000W Dry</t>
  </si>
  <si>
    <t>Bajaj Rex 500W Mixer Grinder</t>
  </si>
  <si>
    <t>Lifelong LLEK15 Electric Kettle 1.5L</t>
  </si>
  <si>
    <t>Lifelong LLQH922 Regalia 800 W</t>
  </si>
  <si>
    <t>R B Nova Lint/Fabric Shaver</t>
  </si>
  <si>
    <t>Bajaj Immersion Rod Water Heater</t>
  </si>
  <si>
    <t>INALSA Electric Kettle 1.5 Litre</t>
  </si>
  <si>
    <t>Prestige PIC 20 1600 Watt</t>
  </si>
  <si>
    <t>Pigeon Healthifry Digital Air Fryer,</t>
  </si>
  <si>
    <t>Philips GC1905 1440-Watt Steam Iron</t>
  </si>
  <si>
    <t>Havells Immersion HB15 1500 Watt</t>
  </si>
  <si>
    <t>AGARO LR2007 Lint Remover, Rechargeable,</t>
  </si>
  <si>
    <t>Pigeon 1.5 litre Hot Kettle</t>
  </si>
  <si>
    <t>NutriPro Juicer Mixer Grinder -</t>
  </si>
  <si>
    <t>Philips GC026/30 Fabric Shaver, Lint</t>
  </si>
  <si>
    <t>Havells Cista Room Heater, White,</t>
  </si>
  <si>
    <t>AGARO Regal 800 Watts Handheld</t>
  </si>
  <si>
    <t>Philips Viva Collection HD4928/01 2100-Watt</t>
  </si>
  <si>
    <t>Pigeon By Stovekraft ABS Plastic</t>
  </si>
  <si>
    <t>AGARO Esteem Multi Kettle 1.2</t>
  </si>
  <si>
    <t>Bajaj Minor 1000 Watts Radiant</t>
  </si>
  <si>
    <t>Butterfly Jet Elite Mixer Grinder,</t>
  </si>
  <si>
    <t>SOFLIN Egg Boiler Electric Automatic</t>
  </si>
  <si>
    <t>Lifelong LLQH925 Dyno Quartz Heater</t>
  </si>
  <si>
    <t>Amazon Basics 1500 W Electric</t>
  </si>
  <si>
    <t>Prestige Sandwich Maker PGMFD 01,</t>
  </si>
  <si>
    <t>Orient Electric Fabrijoy DIFJ10BP 1000-Watt</t>
  </si>
  <si>
    <t>Lifelong LLFH921 Regalia 2000 W</t>
  </si>
  <si>
    <t>Philips GC181 Heavy Weight 1000-Watt</t>
  </si>
  <si>
    <t>Bulfyss USB Rechargeable Lint Remover</t>
  </si>
  <si>
    <t>Bajaj DX-7 1000W Dry Iron</t>
  </si>
  <si>
    <t>Bajaj New Shakti Neo 25L</t>
  </si>
  <si>
    <t>PHILIPS Handheld Garment Steamer STH3000/20</t>
  </si>
  <si>
    <t>Room Heater Warmer Wall-Outlet 400</t>
  </si>
  <si>
    <t>Wonderchef Nutri-blend Mixer, Grinder &amp;</t>
  </si>
  <si>
    <t>USHA Armor AR1100WB 1100 W</t>
  </si>
  <si>
    <t>Butterfly EKN 1.5-Litre Electric Kettle</t>
  </si>
  <si>
    <t>Crompton Arno Neo 15-L 5</t>
  </si>
  <si>
    <t>Borosil Chef Delite BCH20DBB21 300-Watt</t>
  </si>
  <si>
    <t>KENT 16055 Amaze Cool Touch</t>
  </si>
  <si>
    <t>Prestige IRIS Plus 750 watt</t>
  </si>
  <si>
    <t>Simxen Egg Boiler Electric Automatic</t>
  </si>
  <si>
    <t>Amazon Basics 2000/1000 Watt Room</t>
  </si>
  <si>
    <t>HealthSense Weight Machine for Kitchen,</t>
  </si>
  <si>
    <t>Bajaj New Shakti Neo 10L</t>
  </si>
  <si>
    <t>Bosch Pro 1000W Mixer Grinder</t>
  </si>
  <si>
    <t>Bulfyss Stainless Steel Digital Kitchen</t>
  </si>
  <si>
    <t>VR 18 Pcs - 3</t>
  </si>
  <si>
    <t>Orient Electric Apex-FX 1200mm Ultra</t>
  </si>
  <si>
    <t>PrettyKrafts Folding Laundry Basket for</t>
  </si>
  <si>
    <t>Bajaj Majesty RX11 2000 Watts</t>
  </si>
  <si>
    <t>Eureka Forbes Trendy Zip 1000</t>
  </si>
  <si>
    <t>Pigeon by Stovekraft Quartz Electric</t>
  </si>
  <si>
    <t>Maharaja Whiteline Lava Neo 1200-Watts</t>
  </si>
  <si>
    <t>Crompton Gracee 5-L Instant Water</t>
  </si>
  <si>
    <t>Bajaj DX-2 600W Dry Iron</t>
  </si>
  <si>
    <t>Bajaj Waterproof 1500 Watts Immersion</t>
  </si>
  <si>
    <t>AGARO Supreme High Pressure Washer,</t>
  </si>
  <si>
    <t>Bajaj Deluxe 2000 Watts Halogen</t>
  </si>
  <si>
    <t>Orpat HHB-100E WOB 250-Watt Hand</t>
  </si>
  <si>
    <t>GILTON Egg Boiler Electric Automatic</t>
  </si>
  <si>
    <t>HealthSense Chef-Mate KS 33 Digital</t>
  </si>
  <si>
    <t>PHILIPS Digital Air Fryer HD9252/90</t>
  </si>
  <si>
    <t>Milton Go Electro 2.0 Stainless</t>
  </si>
  <si>
    <t>Philips Daily Collection HD2582/00 830-Watt</t>
  </si>
  <si>
    <t>Crompton Insta Comfy 800 Watt</t>
  </si>
  <si>
    <t>USHA Heat Convector 812 T</t>
  </si>
  <si>
    <t>Philips HL7756/00 Mixer Grinder, 750W,</t>
  </si>
  <si>
    <t>Kuber Industries Waterproof Round Non</t>
  </si>
  <si>
    <t>Lifelong LLMG93 500 Watt Duos</t>
  </si>
  <si>
    <t>Crompton Insta Comfort Heater 2000</t>
  </si>
  <si>
    <t>Lint Remover Woolen Clothes Lint</t>
  </si>
  <si>
    <t>Pigeon Kessel Multipurpose Kettle (12173)</t>
  </si>
  <si>
    <t>C (DEVICE) Lint Remover for</t>
  </si>
  <si>
    <t>Pigeon by Stovekraft 2 Slice</t>
  </si>
  <si>
    <t>Bajaj OFR Room Heater, 13</t>
  </si>
  <si>
    <t>Luminous Vento Deluxe 150 mm</t>
  </si>
  <si>
    <t>Wipro Vesta 1.8 litre Cool</t>
  </si>
  <si>
    <t>Kitchen Mart Stainless Steel South</t>
  </si>
  <si>
    <t>Ikea 903.391.72 Polypropylene Plastic Solid</t>
  </si>
  <si>
    <t>Prestige Iris 750 Watt Mixer</t>
  </si>
  <si>
    <t>Preethi Blue Leaf Diamond MG-214</t>
  </si>
  <si>
    <t>Butterfly Smart Mixer Grinder, 750W,</t>
  </si>
  <si>
    <t>KENT Smart Multi Cooker Cum</t>
  </si>
  <si>
    <t>InstaCuppa Portable Blender for Smoothie,</t>
  </si>
  <si>
    <t>USHA EI 1602 1000 W</t>
  </si>
  <si>
    <t>KENT 16044 Hand Blender Stainless</t>
  </si>
  <si>
    <t>White Feather Portable Heat Sealer</t>
  </si>
  <si>
    <t>Crompton IHL 152 1500-Watt Immersion</t>
  </si>
  <si>
    <t>InstaCuppa Rechargeable Mini Electric Chopper</t>
  </si>
  <si>
    <t>Philips PowerPro FC9352/01 Compact Bagless</t>
  </si>
  <si>
    <t>SAIELLIN Electric Lint Remover for</t>
  </si>
  <si>
    <t>Cookwell Bullet Mixer Grinder (5</t>
  </si>
  <si>
    <t>Prestige PRWO 1.8-2 700-Watts Delight</t>
  </si>
  <si>
    <t>Swiffer Instant Electric Water Heater</t>
  </si>
  <si>
    <t>Lifelong LLWH106 Flash 3 Litres</t>
  </si>
  <si>
    <t>Hindware Atlantic Compacto 3 Litre</t>
  </si>
  <si>
    <t>ATOM Selves-MH 200 GM Digital</t>
  </si>
  <si>
    <t>Crompton InstaBliss 3-L Instant Water</t>
  </si>
  <si>
    <t>Croma 1100 W Dry Iron</t>
  </si>
  <si>
    <t>Lint Roller with 40 Paper</t>
  </si>
  <si>
    <t>Portable Lint Remover Pet Fur</t>
  </si>
  <si>
    <t>atomberg Renesa 1200mm BLDC Motor</t>
  </si>
  <si>
    <t>Pigeon by Stovekraft Amaze Plus</t>
  </si>
  <si>
    <t>Usha CookJoy (CJ1600WPC) 1600 Watt</t>
  </si>
  <si>
    <t>Reffair AX30 [MAX] Portable Air</t>
  </si>
  <si>
    <t>!!1000 Watt/2000-Watt Room Heater!! Fan</t>
  </si>
  <si>
    <t>Eureka Forbes Wet &amp; Dry</t>
  </si>
  <si>
    <t>Activa Heat-Max 2000 Watts Room</t>
  </si>
  <si>
    <t>PHILIPS HL1655/00 Hand Blender, White</t>
  </si>
  <si>
    <t>V-Guard Zio Instant Water Geyser</t>
  </si>
  <si>
    <t>Homeistic Applience™ Instant Electric Water</t>
  </si>
  <si>
    <t>Kitchenwell 18Pc Plastic Food Snack</t>
  </si>
  <si>
    <t>Havells Instanio 10 Litre Storage</t>
  </si>
  <si>
    <t>Prestige PIC 16.0+ 1900W Induction</t>
  </si>
  <si>
    <t>AGARO 33398 Rapid 1000-Watt, 10-Litre</t>
  </si>
  <si>
    <t>KENT 16026 Electric Kettle Stainless</t>
  </si>
  <si>
    <t>SKYTONE Stainless Steel Electric Meat</t>
  </si>
  <si>
    <t>KENT 16088 Vogue Electric Kettle</t>
  </si>
  <si>
    <t>Eureka Forbes Supervac 1600 Watts</t>
  </si>
  <si>
    <t>Mi Air Purifier 3 with</t>
  </si>
  <si>
    <t>Tata Swach Bulb 6000-Litre Cartridge,</t>
  </si>
  <si>
    <t>PrettyKrafts Laundry Bag / Basket</t>
  </si>
  <si>
    <t>FABWARE Lint Remover for Clothes</t>
  </si>
  <si>
    <t>Brayden Fito Atom Rechargeable Smoothie</t>
  </si>
  <si>
    <t>Bajaj Frore 1200 mm Ceiling</t>
  </si>
  <si>
    <t>Venus Digital Kitchen Weighing Scale</t>
  </si>
  <si>
    <t>Bajaj ATX 4 750-Watt Pop-up</t>
  </si>
  <si>
    <t>Coway Professional Air Purifier for</t>
  </si>
  <si>
    <t>KENT Gold Optima Gravity Water</t>
  </si>
  <si>
    <t>HOMEPACK 750W Radiant Room Home</t>
  </si>
  <si>
    <t>Bajaj Rex 750W Mixer Grinder</t>
  </si>
  <si>
    <t>Heart Home Waterproof Round Non</t>
  </si>
  <si>
    <t>MILTON Smart Egg Boiler 360-Watts</t>
  </si>
  <si>
    <t>iBELL SEK15L Premium 1.5 Litre</t>
  </si>
  <si>
    <t>Tosaa T2STSR Sandwich Gas Toaster</t>
  </si>
  <si>
    <t>V-Guard Divino 5 Star Rated</t>
  </si>
  <si>
    <t>Akiara® - Makes life easy</t>
  </si>
  <si>
    <t>Usha Steam Pro SI 3713,</t>
  </si>
  <si>
    <t>Wonderchef Nutri-blend Complete Kitchen Machine</t>
  </si>
  <si>
    <t>WIDEWINGS Electric Handheld Milk Wand</t>
  </si>
  <si>
    <t>Morphy Richards Icon Superb 750W</t>
  </si>
  <si>
    <t>Philips Handheld Garment Steamer GC360/30</t>
  </si>
  <si>
    <t>Vedini Transparent Empty Refillable Reusable</t>
  </si>
  <si>
    <t>Crompton Sea Sapphira 1200 mm</t>
  </si>
  <si>
    <t>Kuber Industries Waterproof Canvas Laundry</t>
  </si>
  <si>
    <t>JM SELLER 180 W 2021</t>
  </si>
  <si>
    <t>Oratech Coffee Frother electric, milk</t>
  </si>
  <si>
    <t>Havells Glaze 74W Pearl Ivory</t>
  </si>
  <si>
    <t>Pick Ur Needs® Lint Remover</t>
  </si>
  <si>
    <t>Rico Japanese Technology Rechargeable Wireless</t>
  </si>
  <si>
    <t>Butterfly Smart Wet Grinder, 2L</t>
  </si>
  <si>
    <t>AGARO Marvel 9 Liters Oven</t>
  </si>
  <si>
    <t>Philips GC1920/28 1440-Watt Non-Stick Soleplate</t>
  </si>
  <si>
    <t>Havells OFR 13 Wave Fin</t>
  </si>
  <si>
    <t>Bajaj DHX-9 1000W Heavy Weight</t>
  </si>
  <si>
    <t>Aquasure From Aquaguard Amaze RO+UV+MTDS,7L</t>
  </si>
  <si>
    <t>ROYAL STEP Portable Electric USB</t>
  </si>
  <si>
    <t>KENT 16068 Zoom Vacuum Cleaner</t>
  </si>
  <si>
    <t>ENEM Sealing Machine | 12</t>
  </si>
  <si>
    <t>Wipro Vesta 1200 Watt GD203</t>
  </si>
  <si>
    <t>Inalsa Electric Kettle Prism Inox</t>
  </si>
  <si>
    <t>VRPRIME Lint Roller Lint Remover</t>
  </si>
  <si>
    <t>Philips AC1215/20 Air purifier, removes</t>
  </si>
  <si>
    <t>Eopora PTC Ceramic Fast Heating</t>
  </si>
  <si>
    <t>Usha Goliath GO1200WG Heavy Weight</t>
  </si>
  <si>
    <t>Wipro Vesta Electric Egg Boiler,</t>
  </si>
  <si>
    <t>Philips Viva Collection HR1832/00 1.5-Litre400-Watt</t>
  </si>
  <si>
    <t>Kitchenwell Multipurpose Portable Electronic Digital</t>
  </si>
  <si>
    <t>FIGMENT Handheld Milk Frother Rechargeable,</t>
  </si>
  <si>
    <t>Balzano High Speed Nutri Blender/Mixer/Smoothie</t>
  </si>
  <si>
    <t>Swiss Military VC03 Wireless Car</t>
  </si>
  <si>
    <t>Zuvexa USB Rechargeable Electric Foam</t>
  </si>
  <si>
    <t>Usha IH2415 1500-Watt Immersion Heater</t>
  </si>
  <si>
    <t>ACTIVA Instant 3 LTR 3</t>
  </si>
  <si>
    <t>Havells Instanio 1-Litre 3KW Instant</t>
  </si>
  <si>
    <t>Lifelong 2-in1 Egg Boiler and</t>
  </si>
  <si>
    <t>INDIAS®™ Electro-Instant Water Geyser A.B.S.</t>
  </si>
  <si>
    <t>AmazonBasics Induction Cooktop 1600 Watt</t>
  </si>
  <si>
    <t>Sui Generis Electric Handheld Milk</t>
  </si>
  <si>
    <t>Philips Air Purifier Ac2887/20,Vitashield Intelligent</t>
  </si>
  <si>
    <t>Esquire Laundry Basket Brown, 50</t>
  </si>
  <si>
    <t>PHILIPS Air Fryer HD9200/90, uses</t>
  </si>
  <si>
    <t>Havells Bero Quartz Heater Black</t>
  </si>
  <si>
    <t>Philips EasyTouch Plus Standing Garment</t>
  </si>
  <si>
    <t>Brayden Chopro, Electric Vegetable Chopper</t>
  </si>
  <si>
    <t>Usha Janome Dream Stitch Automatic</t>
  </si>
  <si>
    <t>Black+Decker Handheld Portable Garment Steamer</t>
  </si>
  <si>
    <t>Personal Size Blender, Portable Blender,</t>
  </si>
  <si>
    <t>Sujata Powermatic Plus 900 Watts</t>
  </si>
  <si>
    <t>Sure From Aquaguard Delight NXT</t>
  </si>
  <si>
    <t>PrettyKrafts Laundry Basket for clothes</t>
  </si>
  <si>
    <t>Dr Trust Electronic Kitchen Digital</t>
  </si>
  <si>
    <t>Tesora - Inspired by you</t>
  </si>
  <si>
    <t>AGARO Ace 1600 Watts, 21.5</t>
  </si>
  <si>
    <t>INALSA Hand Blender 1000 Watt</t>
  </si>
  <si>
    <t>akiara - Makes life easy</t>
  </si>
  <si>
    <t>INALSA Electric Chopper Bullet- 400</t>
  </si>
  <si>
    <t>Borosil Electric Egg Boiler, 8</t>
  </si>
  <si>
    <t>Wipro Vesta Grill 1000 Watt</t>
  </si>
  <si>
    <t>Rico IRPRO 1500 Watt Japanese</t>
  </si>
  <si>
    <t>Eureka Forbes Active Clean 700</t>
  </si>
  <si>
    <t>Hindware Atlantic Xceed 5L 3kW</t>
  </si>
  <si>
    <t>Morphy Richards New Europa 800-Watt</t>
  </si>
  <si>
    <t>Lifelong Power - Pro 500</t>
  </si>
  <si>
    <t>iBELL Castor CTEK15L Premium 1.5</t>
  </si>
  <si>
    <t>BAJAJ PYGMY MINI 110 MM</t>
  </si>
  <si>
    <t>Crompton InstaGlide 1000-Watts Dry Iron</t>
  </si>
  <si>
    <t>Prestige Clean Home Water Purifier</t>
  </si>
  <si>
    <t>Morphy Richards Aristo 2000 Watts</t>
  </si>
  <si>
    <t>Gadgetronics Digital Kitchen Weighing Scale</t>
  </si>
  <si>
    <t>HUL Pureit Germkill kit for</t>
  </si>
  <si>
    <t>Tom &amp; Jerry Folding Laundry</t>
  </si>
  <si>
    <t>Ikea Little Loved Corner PRODUKT</t>
  </si>
  <si>
    <t>Philips EasySpeed Plus Steam Iron</t>
  </si>
  <si>
    <t>Bajaj New Shakti Neo Plus</t>
  </si>
  <si>
    <t>House of Quirk Reusable Sticky</t>
  </si>
  <si>
    <t>Allin Exporters J66 Ultrasonic Humidifier</t>
  </si>
  <si>
    <t>Multifunctional 2 in 1 Electric</t>
  </si>
  <si>
    <t>Maharaja Whiteline Nano Carbon Neo,</t>
  </si>
  <si>
    <t>KENT Electric Chopper-B for Kitchen</t>
  </si>
  <si>
    <t>Crompton Amica 15-L 5 Star</t>
  </si>
  <si>
    <t>Eureka Forbes car Vac 100</t>
  </si>
  <si>
    <t>KENT 16025 Sandwich Grill 700W</t>
  </si>
  <si>
    <t>Candes Gloster All in One</t>
  </si>
  <si>
    <t>Inalsa Electric Fan Heater Hotty</t>
  </si>
  <si>
    <t>Havells Zella Flap Auto Immersion</t>
  </si>
  <si>
    <t>iBELL SM1301 3-in-1 Sandwich Maker</t>
  </si>
  <si>
    <t>Inalsa Vacuum Cleaner Wet and</t>
  </si>
  <si>
    <t>MR. BRAND Portable USB Juicer</t>
  </si>
  <si>
    <t>Crompton Hill Briz Deco 1200mm</t>
  </si>
  <si>
    <t>Aquadpure Copper + Mineral RO+UV+UF</t>
  </si>
  <si>
    <t>Amazon Basics 650 Watt Drip</t>
  </si>
  <si>
    <t>Crompton Insta Delight Fan Circulator</t>
  </si>
  <si>
    <t>!!HANEUL!!1000 Watt/2000-Watt Room Heater!! Fan</t>
  </si>
  <si>
    <t>Melbon VM-905 2000-Watt Room Heater</t>
  </si>
  <si>
    <t>Cello Eliza Plastic Laundry Bag/Basket,</t>
  </si>
  <si>
    <t>ACTIVA 1200 MM HIGH SPEED</t>
  </si>
  <si>
    <t>Shakti Technology S5 High Pressure</t>
  </si>
  <si>
    <t>AMERICAN MICRONIC- Imported Wet &amp;</t>
  </si>
  <si>
    <t>Demokrazy New Nova Lint Cum</t>
  </si>
  <si>
    <t>Instant Pot Air Fryer, Vortex</t>
  </si>
  <si>
    <t>HUL Pureit Eco Water Saver</t>
  </si>
  <si>
    <t>Livpure Glo Star RO+UV+UF+Mineraliser -</t>
  </si>
  <si>
    <t>Philips Hi113 1000-Watt Plastic Body</t>
  </si>
  <si>
    <t>Kuber Industries Round Non Woven</t>
  </si>
  <si>
    <t>Preethi MGA-502 0.4-Litre Grind and</t>
  </si>
  <si>
    <t>Usha Aurora 1000 W Dry</t>
  </si>
  <si>
    <t>ECOVACS DEEBOT N8 2-in-1 Robotic</t>
  </si>
  <si>
    <t>Kent Gold, Optima, Gold+ Spare</t>
  </si>
  <si>
    <t>AVNISH Tap Water Purifier Filter</t>
  </si>
  <si>
    <t>Khaitan ORFin Fan heater for</t>
  </si>
  <si>
    <t>USHA RapidMix 500-Watt Copper Motor</t>
  </si>
  <si>
    <t>CSI INTERNATIONAL® Instant Water Geyser,</t>
  </si>
  <si>
    <t>Havells Gatik Neo 400mm Pedestal</t>
  </si>
  <si>
    <t>INALSA Upright Vacuum Cleaner, 2-in-1,Handheld</t>
  </si>
  <si>
    <t>ROYAL STEP - AMAZON'S BRAND</t>
  </si>
  <si>
    <t>Nirdambhay Mini Bag Sealer, 2</t>
  </si>
  <si>
    <t>Cello Non-Stick Aluminium Sandwich Gas</t>
  </si>
  <si>
    <t>Proven® Copper + Mineral RO+UV+UF</t>
  </si>
  <si>
    <t>Morphy Richards Daisy 1000W Dry</t>
  </si>
  <si>
    <t>Wipro Vesta 1200 Watt GD201</t>
  </si>
  <si>
    <t>Zuvexa Egg Boiler Poacher Automatic</t>
  </si>
  <si>
    <t>AO Smith HSE-VAS-X-015 Storage 15</t>
  </si>
  <si>
    <t>Havells Festiva 1200mm Dust Resistant</t>
  </si>
  <si>
    <t>INALSA Vaccum Cleaner Handheld 800W</t>
  </si>
  <si>
    <t>iBELL SM1515NEW Sandwich Maker with</t>
  </si>
  <si>
    <t>Aquaguard Aura RO+UV+UF+Taste Adjuster(MTDS) with</t>
  </si>
  <si>
    <t>Havells Instanio 3-Litre 4.5KW Instant</t>
  </si>
  <si>
    <t>Milk Frother, Immersion Blender Cordlesss</t>
  </si>
  <si>
    <t>Panasonic SR-WA22H (E) Automatic Rice</t>
  </si>
  <si>
    <t>InstaCuppa Milk Frother for Coffee</t>
  </si>
  <si>
    <t>Goodscity Garment Steamer for Clothes,</t>
  </si>
  <si>
    <t>Solidaire 550-Watt Mixer Grinder with</t>
  </si>
  <si>
    <t>Amazon Basics 300 W Hand</t>
  </si>
  <si>
    <t>Orpat HHB-100E 250-Watt Hand Blender</t>
  </si>
  <si>
    <t>HealthSense Rechargeable Lint Remover for</t>
  </si>
  <si>
    <t>AGARO Classic Portable Yogurt Maker,</t>
  </si>
  <si>
    <t>AGARO Imperial 240-Watt Slow Juicer</t>
  </si>
  <si>
    <t>Wipro Smartlife Super Deluxe Dry</t>
  </si>
  <si>
    <t>AmazonBasics Cylinder Bagless Vacuum Cleaner</t>
  </si>
  <si>
    <t>Crompton IHL 251 1500-Watt Immersion</t>
  </si>
  <si>
    <t>SaiEllin Room Heater For Home</t>
  </si>
  <si>
    <t>Bajaj Majesty Duetto Gas 6</t>
  </si>
  <si>
    <t>Black + Decker BD BXIR2201IN</t>
  </si>
  <si>
    <t>Inalsa Hand Blender| Hand Mixer|Beater</t>
  </si>
  <si>
    <t>Longway Blaze 2 Rod Quartz</t>
  </si>
  <si>
    <t>Prestige PWG 07 Wet Grinder,</t>
  </si>
  <si>
    <t>Pigeon Zest Mixer Grinder 3</t>
  </si>
  <si>
    <t>Borosil Volcano 13 Fin Oil</t>
  </si>
  <si>
    <t>Crompton Solarium Qube 15-L 5</t>
  </si>
  <si>
    <t>Singer Aroma 1.8 Liter Electric</t>
  </si>
  <si>
    <t>Orient Electric Aura Neo Instant</t>
  </si>
  <si>
    <t>Crompton Brio 1000-Watts Dry Iron</t>
  </si>
  <si>
    <t>Butterfly Hero Mixer Grinder, 500W,</t>
  </si>
  <si>
    <t>Racold Eterno Pro 25L Vertical</t>
  </si>
  <si>
    <t>LG 1.5 Ton 5 Star</t>
  </si>
  <si>
    <t>Eureka Forbes Aquasure Amrit Twin</t>
  </si>
  <si>
    <t>Green Tales Heat Seal Mini</t>
  </si>
  <si>
    <t>SaleOn Instant Coal Heater 500W</t>
  </si>
  <si>
    <t>Sujata Chutney Steel Jar, 400</t>
  </si>
  <si>
    <t>KHAITAN AVAANTE KA-2013 1200 Watt</t>
  </si>
  <si>
    <t>Kenstar 2400 Watts 9 Fins</t>
  </si>
  <si>
    <t>NEXOMS Instant Heating Water Tap</t>
  </si>
  <si>
    <t>JIALTO Mini Waffle Maker 4</t>
  </si>
  <si>
    <t>Candes BlowHot All in One</t>
  </si>
  <si>
    <t>Ionix Jewellery Scale | Weight</t>
  </si>
  <si>
    <t>Kitchen Kit Electric Kettle, 1.8L</t>
  </si>
  <si>
    <t>Racold Pronto Pro 3Litres 3KW</t>
  </si>
  <si>
    <t>ESN 999 Supreme Quality 1500W</t>
  </si>
  <si>
    <t>Pajaka® South Indian Filter Coffee</t>
  </si>
  <si>
    <t>Saiyam Stainless Steel Espresso Maker</t>
  </si>
  <si>
    <t>KONVIO NEER 10 Inch Spun</t>
  </si>
  <si>
    <t>Havells Glydo 1000 watt Dry</t>
  </si>
  <si>
    <t>Raffles Premium Stainless Steel South</t>
  </si>
  <si>
    <t>IONIX Activated Carbon Faucet Water</t>
  </si>
  <si>
    <t>KNYUC MART Mini Electric Handy</t>
  </si>
  <si>
    <t>INKULTURE Stainless_Steel Measuring Cups &amp;</t>
  </si>
  <si>
    <t>Macmillan Aquafresh 5 Micron PS-05</t>
  </si>
  <si>
    <t>Havells D'zire 1000 watt Dry</t>
  </si>
  <si>
    <t>TE™ Instant Electric Heating Hot</t>
  </si>
  <si>
    <t>ZIGMA WinoteK WinoteK Sun Instant</t>
  </si>
  <si>
    <t>KENT 11054 Alkaline Water Filter</t>
  </si>
  <si>
    <t>Sujata Dynamix DX Mixer Grinder,</t>
  </si>
  <si>
    <t>Lifelong LLMG74 750 Watt Mixer</t>
  </si>
  <si>
    <t>TTK Prestige Limited Orion Mixer</t>
  </si>
  <si>
    <t>AGARO Regal Electric Rice Cooker,</t>
  </si>
  <si>
    <t>VAPJA® Portable Mini Juicer Cup</t>
  </si>
  <si>
    <t>Philips HD6975/00 25 Litre Digital</t>
  </si>
  <si>
    <t>Usha EI 3710 Heavy Weight</t>
  </si>
  <si>
    <t>Campfire Spring Chef Prolix Instant</t>
  </si>
  <si>
    <t>Themisto TH-WS20 Digital Kitchen Weighing</t>
  </si>
  <si>
    <t>FYA Handheld Vacuum Cleaner Cordless,</t>
  </si>
  <si>
    <t>Lifelong LLSM120G Sandwich Griller ,</t>
  </si>
  <si>
    <t>Kuber Industries Nylon Mesh Laundry</t>
  </si>
  <si>
    <t>Bulfyss Plastic Sticky Lint Roller</t>
  </si>
  <si>
    <t>T TOPLINE 180 W Electric</t>
  </si>
  <si>
    <t>Empty Mist Trigger Plastic Spray</t>
  </si>
  <si>
    <t>LONAXA Mini Travel Rechargeable Fruit</t>
  </si>
  <si>
    <t>SUJATA Powermatic Plus, Juicer Mixer</t>
  </si>
  <si>
    <t>AGARO Royal Double Layered Kettle,</t>
  </si>
  <si>
    <t>Cafe JEI French Press Coffee</t>
  </si>
  <si>
    <t>Borosil Prime Grill Sandwich Maker</t>
  </si>
  <si>
    <t>Candes 10 Litre Perfecto 5</t>
  </si>
  <si>
    <t>Prestige PSMFB 800 Watt Sandwich</t>
  </si>
  <si>
    <t>iBELL MPK120L Premium Stainless Steel</t>
  </si>
  <si>
    <t>Maharaja Whiteline Odacio Plus 550-Watt</t>
  </si>
  <si>
    <t>Shakti Technology S3 High Pressure</t>
  </si>
  <si>
    <t>Cello Quick Boil Popular Electric</t>
  </si>
  <si>
    <t>AGARO Glory Cool Mist Ultrasonic</t>
  </si>
  <si>
    <t>Wolpin 1 Lint Roller with</t>
  </si>
  <si>
    <t>Abode Kitchen Essential Measuring Cup</t>
  </si>
  <si>
    <t>Sujata Supermix, Mixer Grinder, 900</t>
  </si>
  <si>
    <t>CARDEX Digital Kitchen Weighing Machine</t>
  </si>
  <si>
    <t>V-Guard Zenora RO+UF+MB Water Purifier</t>
  </si>
  <si>
    <t>Bajaj Rex DLX 750 W</t>
  </si>
  <si>
    <t>KENT 16051 Hand Blender 300</t>
  </si>
  <si>
    <t>Prestige PIC 15.0+ 1900-Watt Induction</t>
  </si>
  <si>
    <t>Aqua d pure Active Copper</t>
  </si>
  <si>
    <t>PrettyKrafts Laundry Square Shape Basket</t>
  </si>
  <si>
    <t>Libra Roti Maker Electric Automatic</t>
  </si>
  <si>
    <t>Glen 3 in 1 Electric</t>
  </si>
  <si>
    <t>Dynore Stainless Steel Set of</t>
  </si>
  <si>
    <t>Lint Remover For Clothes With</t>
  </si>
  <si>
    <t>Monitor AC Stand/Heavy Duty Air</t>
  </si>
  <si>
    <t>iBELL Induction Cooktop, 2000W with</t>
  </si>
  <si>
    <t>KENT POWP-Sediment Filter 10'' Thread</t>
  </si>
  <si>
    <t>LACOPINE Mini Pocket Size Lint</t>
  </si>
  <si>
    <t>iBELL SEK170BM Premium Electric Kettle,</t>
  </si>
  <si>
    <t>Activa Easy Mix Nutri Mixer</t>
  </si>
  <si>
    <t>Sujata Dynamix, Mixer Grinder, 900</t>
  </si>
  <si>
    <t>Wipro Vesta 1380W Cordless Steam</t>
  </si>
  <si>
    <t>Mi Robot Vacuum-Mop P, Best-in-class</t>
  </si>
  <si>
    <t>Havells Ventil Air DX 200mm</t>
  </si>
  <si>
    <t>AGARO Royal Stand 1000W Mixer</t>
  </si>
  <si>
    <t>Crompton Highspeed Markle Prime 1200</t>
  </si>
  <si>
    <t>Lifelong LLWM105 750-Watt Belgian Waffle</t>
  </si>
  <si>
    <t>Kuber Industries Waterproof Round Laundry</t>
  </si>
  <si>
    <t>Portable, Handy Compact Plug-in Portable</t>
  </si>
  <si>
    <t>Karcher WD3 EU Wet and</t>
  </si>
  <si>
    <t>INALSA Air Fryer Digital 4L</t>
  </si>
  <si>
    <t>AmazonBasics High Speed 55 Watt</t>
  </si>
  <si>
    <t>Eco Crystal J 5 inch</t>
  </si>
  <si>
    <t>Borosil Rio 1.5 L Electric</t>
  </si>
  <si>
    <t>Havells Ambrose 1200mm Ceiling Fan</t>
  </si>
  <si>
    <t>PHILIPS Drip Coffee Maker HD7432/20,</t>
  </si>
  <si>
    <t>Eureka Forbes Euroclean Paper Vacuum</t>
  </si>
  <si>
    <t>Larrito wooden Cool Mist Humidifiers</t>
  </si>
  <si>
    <t>Hilton Quartz Heater 400/800-Watt ISI</t>
  </si>
  <si>
    <t>Syska SDI-07 1000 W Stellar</t>
  </si>
  <si>
    <t>IKEA Milk Frother for Your</t>
  </si>
  <si>
    <t>IONIX Tap filter Multilayer |</t>
  </si>
  <si>
    <t>Kitchengenix's Mini Waffle Maker 4</t>
  </si>
  <si>
    <t>Bajaj HM-01 Powerful 250W Hand</t>
  </si>
  <si>
    <t>KNOWZA Electric Handheld Milk Wand</t>
  </si>
  <si>
    <t>Usha Hc 812 T Thermo</t>
  </si>
  <si>
    <t>USHA 1212 PTC with Adjustable</t>
  </si>
  <si>
    <t>4 in 1 Handheld Electric</t>
  </si>
  <si>
    <t>Philips HD9306/06 1.5-Litre Electric Kettle</t>
  </si>
  <si>
    <t>Libra Room Heater for Home,</t>
  </si>
  <si>
    <t>NGI Store 2 Pieces Pet</t>
  </si>
  <si>
    <t>Noir Aqua - 5pcs PP</t>
  </si>
  <si>
    <t>Prestige Delight PRWO Electric Rice</t>
  </si>
  <si>
    <t>Bajaj Majesty RX10 2000 Watts</t>
  </si>
  <si>
    <t>Havells Ventil Air DSP 230mm</t>
  </si>
  <si>
    <t>Borosil Jumbo 1000-Watt Grill Sandwich</t>
  </si>
  <si>
    <t>total_product</t>
  </si>
  <si>
    <t>Average of discount</t>
  </si>
  <si>
    <t>Average of rating</t>
  </si>
  <si>
    <t>Max of rating_count</t>
  </si>
  <si>
    <t>most popullar reviewed</t>
  </si>
  <si>
    <t>top category most product</t>
  </si>
  <si>
    <t>Count of product_id</t>
  </si>
  <si>
    <t>Average of actual_price</t>
  </si>
  <si>
    <t>Count of product_name</t>
  </si>
  <si>
    <t>avg rating by category</t>
  </si>
  <si>
    <t>top 10 product reviewed</t>
  </si>
  <si>
    <t>avg discount by category</t>
  </si>
  <si>
    <t>top 5 category by product</t>
  </si>
  <si>
    <t>avg prices by category</t>
  </si>
  <si>
    <t>price range distribution</t>
  </si>
  <si>
    <t>mid(500-2000)</t>
  </si>
  <si>
    <t>Sum of rating_count</t>
  </si>
  <si>
    <t>Custom</t>
  </si>
  <si>
    <t>premium</t>
  </si>
  <si>
    <t>budget&lt;500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</si>
</sst>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445]\ * #,##0_ ;_ [$₹-445]\ * \-#,##0_ ;_ [$₹-445]\ * &quot;-&quot;_ ;_ @_ "/>
  </numFmts>
  <fonts count="5" x14ac:knownFonts="1">
    <font>
      <sz val="11"/>
      <color theme="1"/>
      <name val="Calibri"/>
      <family val="2"/>
      <scheme val="minor"/>
    </font>
    <font>
      <sz val="11"/>
      <color theme="1"/>
      <name val="Calibri"/>
      <family val="2"/>
      <scheme val="minor"/>
    </font>
    <font>
      <sz val="12"/>
      <color theme="1"/>
      <name val="Calibri"/>
      <family val="2"/>
      <scheme val="minor"/>
    </font>
    <font>
      <b/>
      <sz val="20"/>
      <color rgb="FFFF7900"/>
      <name val="Calibri"/>
      <family val="2"/>
      <scheme val="minor"/>
    </font>
    <font>
      <b/>
      <sz val="14"/>
      <color rgb="FFFF7900"/>
      <name val="Calibri"/>
      <family val="2"/>
      <scheme val="minor"/>
    </font>
  </fonts>
  <fills count="4">
    <fill>
      <patternFill patternType="none"/>
    </fill>
    <fill>
      <patternFill patternType="gray125"/>
    </fill>
    <fill>
      <patternFill patternType="solid">
        <fgColor rgb="FFD4D4D4"/>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0" fillId="2" borderId="0" xfId="0" applyFill="1"/>
    <xf numFmtId="2" fontId="0" fillId="0" borderId="0" xfId="0" applyNumberFormat="1"/>
    <xf numFmtId="1" fontId="0" fillId="0" borderId="0" xfId="0" applyNumberFormat="1"/>
    <xf numFmtId="0" fontId="2" fillId="3" borderId="0" xfId="0" applyFont="1" applyFill="1"/>
    <xf numFmtId="0" fontId="0" fillId="3" borderId="0" xfId="0" applyFill="1"/>
    <xf numFmtId="164" fontId="0" fillId="0" borderId="0" xfId="0" applyNumberFormat="1"/>
    <xf numFmtId="165" fontId="0" fillId="0" borderId="0" xfId="0" applyNumberFormat="1"/>
    <xf numFmtId="0" fontId="3" fillId="2" borderId="0" xfId="0" applyFont="1" applyFill="1"/>
    <xf numFmtId="164" fontId="3" fillId="0" borderId="0" xfId="0" applyNumberFormat="1" applyFont="1"/>
    <xf numFmtId="2" fontId="3" fillId="0" borderId="0" xfId="0" applyNumberFormat="1" applyFont="1"/>
    <xf numFmtId="0" fontId="3" fillId="0" borderId="0" xfId="0" applyFont="1"/>
    <xf numFmtId="0" fontId="0" fillId="2" borderId="0" xfId="0" applyFill="1" applyAlignment="1">
      <alignment horizontal="center"/>
    </xf>
    <xf numFmtId="0" fontId="0" fillId="3" borderId="0" xfId="0" applyFill="1" applyAlignment="1">
      <alignment horizontal="center"/>
    </xf>
    <xf numFmtId="0" fontId="0" fillId="0" borderId="0" xfId="0" applyNumberFormat="1"/>
    <xf numFmtId="2" fontId="0" fillId="0" borderId="0" xfId="1" applyNumberFormat="1" applyFont="1"/>
    <xf numFmtId="0" fontId="0" fillId="0" borderId="0" xfId="1" applyNumberFormat="1" applyFont="1"/>
    <xf numFmtId="0" fontId="4" fillId="0" borderId="0" xfId="0" applyFont="1"/>
  </cellXfs>
  <cellStyles count="2">
    <cellStyle name="Comma" xfId="1" builtinId="3"/>
    <cellStyle name="Normal" xfId="0" builtinId="0"/>
  </cellStyles>
  <dxfs count="117">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1" formatCode="0"/>
    </dxf>
    <dxf>
      <numFmt numFmtId="0" formatCode="General"/>
    </dxf>
    <dxf>
      <numFmt numFmtId="165" formatCode="_ [$₹-445]\ * #,##0_ ;_ [$₹-445]\ * \-#,##0_ ;_ [$₹-445]\ * &quot;-&quot;_ ;_ @_ "/>
    </dxf>
    <dxf>
      <numFmt numFmtId="0" formatCode="General"/>
    </dxf>
    <dxf>
      <numFmt numFmtId="0" formatCode="General"/>
    </dxf>
    <dxf>
      <numFmt numFmtId="0" formatCode="General"/>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font>
        <b/>
        <i val="0"/>
        <sz val="14"/>
        <color theme="2"/>
      </font>
      <fill>
        <patternFill>
          <bgColor theme="1" tint="0.14996795556505021"/>
        </patternFill>
      </fill>
      <border diagonalUp="0" diagonalDown="0">
        <left/>
        <right/>
        <top/>
        <bottom/>
        <vertical/>
        <horizontal/>
      </border>
    </dxf>
    <dxf>
      <font>
        <b/>
        <i val="0"/>
        <sz val="11"/>
        <color rgb="FFFF7900"/>
      </font>
      <fill>
        <patternFill>
          <bgColor theme="1" tint="0.14996795556505021"/>
        </patternFill>
      </fill>
      <border diagonalUp="0" diagonalDown="0">
        <left/>
        <right/>
        <top/>
        <bottom/>
        <vertical/>
        <horizontal/>
      </border>
    </dxf>
    <dxf>
      <font>
        <b/>
        <i val="0"/>
        <sz val="12"/>
        <color theme="2"/>
      </font>
      <fill>
        <patternFill>
          <bgColor theme="1" tint="0.499984740745262"/>
        </patternFill>
      </fill>
      <border>
        <bottom style="thin">
          <color theme="4"/>
        </bottom>
        <vertical/>
        <horizontal/>
      </border>
    </dxf>
    <dxf>
      <font>
        <b/>
        <i val="0"/>
        <sz val="12"/>
        <color rgb="FFFF7900"/>
      </font>
      <fill>
        <patternFill>
          <bgColor theme="1" tint="0.499984740745262"/>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pivot="0" table="0" count="10" xr9:uid="{E3C425FA-3F37-4F23-9E81-AA136F033A51}">
      <tableStyleElement type="wholeTable" dxfId="116"/>
      <tableStyleElement type="headerRow" dxfId="115"/>
    </tableStyle>
    <tableStyle name="SlicerStyleLight1 2 2" pivot="0" table="0" count="10" xr9:uid="{0914B447-038F-4086-9C42-F2A79ABFDB7C}">
      <tableStyleElement type="wholeTable" dxfId="114"/>
      <tableStyleElement type="headerRow" dxfId="113"/>
    </tableStyle>
  </tableStyles>
  <colors>
    <mruColors>
      <color rgb="FFFF9D43"/>
      <color rgb="FFFFB36D"/>
      <color rgb="FFFF79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auto="1"/>
              <bgColor rgb="FFFF7900"/>
            </patternFill>
          </fill>
          <border>
            <left style="thin">
              <color rgb="FFCCCCCC"/>
            </left>
            <right style="thin">
              <color rgb="FFCCCCCC"/>
            </right>
            <top style="thin">
              <color rgb="FFCCCCCC"/>
            </top>
            <bottom style="thin">
              <color rgb="FFCCCCCC"/>
            </bottom>
            <vertical/>
            <horizontal/>
          </border>
        </dxf>
        <dxf>
          <font>
            <color rgb="FF000000"/>
          </font>
          <fill>
            <patternFill patternType="none">
              <fgColor indexed="64"/>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FF7900"/>
              <bgColor rgb="FFFF79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FF7900"/>
              </a:gs>
              <a:gs pos="19000">
                <a:srgbClr val="FF9D43"/>
              </a:gs>
              <a:gs pos="0">
                <a:srgbClr val="FFB36D"/>
              </a:gs>
            </a:gsLst>
            <a:path path="circle">
              <a:fillToRect l="100000" t="100000"/>
            </a:path>
          </a:gradFill>
          <a:ln>
            <a:noFill/>
          </a:ln>
          <a:effectLst>
            <a:outerShdw blurRad="50800" dist="38100" dir="2700000" algn="tl" rotWithShape="0">
              <a:schemeClr val="bg2">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gradFill>
              <a:gsLst>
                <a:gs pos="100000">
                  <a:srgbClr val="FF7900"/>
                </a:gs>
                <a:gs pos="19000">
                  <a:srgbClr val="FF9D43"/>
                </a:gs>
                <a:gs pos="0">
                  <a:srgbClr val="FFB36D"/>
                </a:gs>
              </a:gsLst>
              <a:path path="circle">
                <a:fillToRect l="100000" t="100000"/>
              </a:path>
            </a:gradFill>
            <a:ln>
              <a:noFill/>
            </a:ln>
            <a:effectLst>
              <a:outerShdw blurRad="50800" dist="38100" dir="2700000" algn="tl" rotWithShape="0">
                <a:schemeClr val="bg2">
                  <a:lumMod val="75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charts!$B$4:$B$13</c:f>
              <c:numCache>
                <c:formatCode>0.0</c:formatCode>
                <c:ptCount val="9"/>
                <c:pt idx="0">
                  <c:v>3.8</c:v>
                </c:pt>
                <c:pt idx="1">
                  <c:v>4.1528619528619481</c:v>
                </c:pt>
                <c:pt idx="2">
                  <c:v>4.0617801047120414</c:v>
                </c:pt>
                <c:pt idx="3">
                  <c:v>4</c:v>
                </c:pt>
                <c:pt idx="4">
                  <c:v>4.0399999999999983</c:v>
                </c:pt>
                <c:pt idx="5">
                  <c:v>4.25</c:v>
                </c:pt>
                <c:pt idx="6">
                  <c:v>3.9</c:v>
                </c:pt>
                <c:pt idx="7">
                  <c:v>4.2965517241379301</c:v>
                </c:pt>
                <c:pt idx="8">
                  <c:v>4.3</c:v>
                </c:pt>
              </c:numCache>
            </c:numRef>
          </c:val>
          <c:extLst>
            <c:ext xmlns:c16="http://schemas.microsoft.com/office/drawing/2014/chart" uri="{C3380CC4-5D6E-409C-BE32-E72D297353CC}">
              <c16:uniqueId val="{00000000-6559-4439-94C5-6940766C2BF2}"/>
            </c:ext>
          </c:extLst>
        </c:ser>
        <c:dLbls>
          <c:showLegendKey val="0"/>
          <c:showVal val="0"/>
          <c:showCatName val="0"/>
          <c:showSerName val="0"/>
          <c:showPercent val="0"/>
          <c:showBubbleSize val="0"/>
        </c:dLbls>
        <c:gapWidth val="100"/>
        <c:overlap val="-27"/>
        <c:axId val="2057775183"/>
        <c:axId val="2057779983"/>
      </c:barChart>
      <c:catAx>
        <c:axId val="2057775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chemeClr val="bg1"/>
                </a:solidFill>
                <a:latin typeface="+mn-lt"/>
                <a:ea typeface="+mn-ea"/>
                <a:cs typeface="+mn-cs"/>
              </a:defRPr>
            </a:pPr>
            <a:endParaRPr lang="en-US"/>
          </a:p>
        </c:txPr>
        <c:crossAx val="2057779983"/>
        <c:crosses val="autoZero"/>
        <c:auto val="1"/>
        <c:lblAlgn val="ctr"/>
        <c:lblOffset val="100"/>
        <c:noMultiLvlLbl val="0"/>
      </c:catAx>
      <c:valAx>
        <c:axId val="2057779983"/>
        <c:scaling>
          <c:orientation val="minMax"/>
        </c:scaling>
        <c:delete val="1"/>
        <c:axPos val="l"/>
        <c:numFmt formatCode="0.0" sourceLinked="1"/>
        <c:majorTickMark val="out"/>
        <c:minorTickMark val="none"/>
        <c:tickLblPos val="nextTo"/>
        <c:crossAx val="205777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FF7900"/>
              </a:gs>
              <a:gs pos="19000">
                <a:srgbClr val="FF9D43"/>
              </a:gs>
              <a:gs pos="0">
                <a:srgbClr val="FFB36D"/>
              </a:gs>
            </a:gsLst>
            <a:path path="circle">
              <a:fillToRect l="100000" t="100000"/>
            </a:path>
          </a:gradFill>
          <a:ln>
            <a:noFill/>
          </a:ln>
          <a:effectLst>
            <a:outerShdw blurRad="50800" dist="38100" dir="2700000" algn="tl" rotWithShape="0">
              <a:schemeClr val="bg2">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5922088686283"/>
          <c:y val="5.3449012125018118E-2"/>
          <c:w val="0.86111940454260349"/>
          <c:h val="0.45040413506593885"/>
        </c:manualLayout>
      </c:layout>
      <c:barChart>
        <c:barDir val="col"/>
        <c:grouping val="clustered"/>
        <c:varyColors val="0"/>
        <c:ser>
          <c:idx val="0"/>
          <c:order val="0"/>
          <c:tx>
            <c:strRef>
              <c:f>charts!$E$3</c:f>
              <c:strCache>
                <c:ptCount val="1"/>
                <c:pt idx="0">
                  <c:v>Total</c:v>
                </c:pt>
              </c:strCache>
            </c:strRef>
          </c:tx>
          <c:spPr>
            <a:gradFill>
              <a:gsLst>
                <a:gs pos="100000">
                  <a:srgbClr val="FF7900"/>
                </a:gs>
                <a:gs pos="19000">
                  <a:srgbClr val="FF9D43"/>
                </a:gs>
                <a:gs pos="0">
                  <a:srgbClr val="FFB36D"/>
                </a:gs>
              </a:gsLst>
              <a:path path="circle">
                <a:fillToRect l="100000" t="100000"/>
              </a:path>
            </a:gradFill>
            <a:ln>
              <a:noFill/>
            </a:ln>
            <a:effectLst>
              <a:outerShdw blurRad="50800" dist="38100" dir="2700000" algn="tl" rotWithShape="0">
                <a:schemeClr val="bg2">
                  <a:lumMod val="75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charts!$D$4:$D$9</c:f>
              <c:strCache>
                <c:ptCount val="6"/>
                <c:pt idx="0">
                  <c:v>Amazon Basics High-Speed HDMI Cable,</c:v>
                </c:pt>
                <c:pt idx="1">
                  <c:v>boAt Bassheads 100 in Ear</c:v>
                </c:pt>
                <c:pt idx="2">
                  <c:v>boAt BassHeads 100 in-Ear Wired</c:v>
                </c:pt>
                <c:pt idx="3">
                  <c:v>Redmi 9 Activ (Carbon Black,</c:v>
                </c:pt>
                <c:pt idx="4">
                  <c:v>Redmi 9A Sport (Carbon Black,</c:v>
                </c:pt>
                <c:pt idx="5">
                  <c:v>Redmi 9A Sport (Coral Green,</c:v>
                </c:pt>
              </c:strCache>
            </c:strRef>
          </c:cat>
          <c:val>
            <c:numRef>
              <c:f>charts!$E$4:$E$9</c:f>
              <c:numCache>
                <c:formatCode>General</c:formatCode>
                <c:ptCount val="6"/>
                <c:pt idx="0">
                  <c:v>426973</c:v>
                </c:pt>
                <c:pt idx="1">
                  <c:v>363713</c:v>
                </c:pt>
                <c:pt idx="2">
                  <c:v>363711</c:v>
                </c:pt>
                <c:pt idx="3">
                  <c:v>313836</c:v>
                </c:pt>
                <c:pt idx="4">
                  <c:v>313832</c:v>
                </c:pt>
                <c:pt idx="5">
                  <c:v>313836</c:v>
                </c:pt>
              </c:numCache>
            </c:numRef>
          </c:val>
          <c:extLst>
            <c:ext xmlns:c16="http://schemas.microsoft.com/office/drawing/2014/chart" uri="{C3380CC4-5D6E-409C-BE32-E72D297353CC}">
              <c16:uniqueId val="{00000000-6958-4070-B64C-C405A25631C4}"/>
            </c:ext>
          </c:extLst>
        </c:ser>
        <c:dLbls>
          <c:showLegendKey val="0"/>
          <c:showVal val="0"/>
          <c:showCatName val="0"/>
          <c:showSerName val="0"/>
          <c:showPercent val="0"/>
          <c:showBubbleSize val="0"/>
        </c:dLbls>
        <c:gapWidth val="150"/>
        <c:overlap val="-27"/>
        <c:axId val="2057784783"/>
        <c:axId val="2057772303"/>
      </c:barChart>
      <c:catAx>
        <c:axId val="205778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chemeClr val="bg1"/>
                </a:solidFill>
                <a:latin typeface="+mn-lt"/>
                <a:ea typeface="+mn-ea"/>
                <a:cs typeface="+mn-cs"/>
              </a:defRPr>
            </a:pPr>
            <a:endParaRPr lang="en-US"/>
          </a:p>
        </c:txPr>
        <c:crossAx val="2057772303"/>
        <c:crosses val="autoZero"/>
        <c:auto val="1"/>
        <c:lblAlgn val="ctr"/>
        <c:lblOffset val="100"/>
        <c:noMultiLvlLbl val="0"/>
      </c:catAx>
      <c:valAx>
        <c:axId val="2057772303"/>
        <c:scaling>
          <c:orientation val="minMax"/>
        </c:scaling>
        <c:delete val="1"/>
        <c:axPos val="l"/>
        <c:numFmt formatCode="General" sourceLinked="1"/>
        <c:majorTickMark val="none"/>
        <c:minorTickMark val="none"/>
        <c:tickLblPos val="nextTo"/>
        <c:crossAx val="205778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4000">
                <a:srgbClr val="FF9D43"/>
              </a:gs>
              <a:gs pos="100000">
                <a:srgbClr val="FFB36D"/>
              </a:gs>
              <a:gs pos="0">
                <a:srgbClr val="FF7900"/>
              </a:gs>
            </a:gsLst>
            <a:path path="circle">
              <a:fillToRect l="100000" t="100000"/>
            </a:path>
          </a:gradFill>
          <a:ln>
            <a:noFill/>
          </a:ln>
          <a:effectLst>
            <a:outerShdw blurRad="50800" dist="38100" dir="2700000" algn="tl" rotWithShape="0">
              <a:schemeClr val="bg2">
                <a:lumMod val="7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charts!$H$3</c:f>
              <c:strCache>
                <c:ptCount val="1"/>
                <c:pt idx="0">
                  <c:v>Total</c:v>
                </c:pt>
              </c:strCache>
            </c:strRef>
          </c:tx>
          <c:spPr>
            <a:gradFill>
              <a:gsLst>
                <a:gs pos="84000">
                  <a:srgbClr val="FF9D43"/>
                </a:gs>
                <a:gs pos="100000">
                  <a:srgbClr val="FFB36D"/>
                </a:gs>
                <a:gs pos="0">
                  <a:srgbClr val="FF7900"/>
                </a:gs>
              </a:gsLst>
              <a:path path="circle">
                <a:fillToRect l="100000" t="100000"/>
              </a:path>
            </a:gradFill>
            <a:ln>
              <a:noFill/>
            </a:ln>
            <a:effectLst>
              <a:outerShdw blurRad="50800" dist="38100" dir="2700000" algn="tl" rotWithShape="0">
                <a:schemeClr val="bg2">
                  <a:lumMod val="75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charts!$G$4:$G$12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charts!$H$4:$H$12</c:f>
              <c:numCache>
                <c:formatCode>0.0</c:formatCode>
                <c:ptCount val="9"/>
                <c:pt idx="0">
                  <c:v>42</c:v>
                </c:pt>
                <c:pt idx="1">
                  <c:v>52.36700336700337</c:v>
                </c:pt>
                <c:pt idx="2">
                  <c:v>48.856020942408378</c:v>
                </c:pt>
                <c:pt idx="3">
                  <c:v>53</c:v>
                </c:pt>
                <c:pt idx="4">
                  <c:v>40.298165137614681</c:v>
                </c:pt>
                <c:pt idx="5">
                  <c:v>57.5</c:v>
                </c:pt>
                <c:pt idx="6">
                  <c:v>46</c:v>
                </c:pt>
                <c:pt idx="7">
                  <c:v>12.448275862068966</c:v>
                </c:pt>
                <c:pt idx="8">
                  <c:v>0</c:v>
                </c:pt>
              </c:numCache>
            </c:numRef>
          </c:val>
          <c:extLst>
            <c:ext xmlns:c16="http://schemas.microsoft.com/office/drawing/2014/chart" uri="{C3380CC4-5D6E-409C-BE32-E72D297353CC}">
              <c16:uniqueId val="{00000000-E8EC-460A-8D7C-B3981DA6B2D4}"/>
            </c:ext>
          </c:extLst>
        </c:ser>
        <c:dLbls>
          <c:showLegendKey val="0"/>
          <c:showVal val="0"/>
          <c:showCatName val="0"/>
          <c:showSerName val="0"/>
          <c:showPercent val="0"/>
          <c:showBubbleSize val="0"/>
        </c:dLbls>
        <c:gapWidth val="100"/>
        <c:axId val="157364415"/>
        <c:axId val="157353375"/>
      </c:barChart>
      <c:catAx>
        <c:axId val="15736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57353375"/>
        <c:crosses val="autoZero"/>
        <c:auto val="1"/>
        <c:lblAlgn val="ctr"/>
        <c:lblOffset val="100"/>
        <c:noMultiLvlLbl val="0"/>
      </c:catAx>
      <c:valAx>
        <c:axId val="157353375"/>
        <c:scaling>
          <c:orientation val="minMax"/>
        </c:scaling>
        <c:delete val="1"/>
        <c:axPos val="b"/>
        <c:numFmt formatCode="0.0" sourceLinked="1"/>
        <c:majorTickMark val="out"/>
        <c:minorTickMark val="none"/>
        <c:tickLblPos val="nextTo"/>
        <c:crossAx val="15736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[amazon_excel.xlsx]charts!PivotTable5</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FF7900"/>
          </a:solidFill>
          <a:ln w="3810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B36D"/>
          </a:solidFill>
          <a:ln w="38100">
            <a:noFill/>
          </a:ln>
          <a:effectLst>
            <a:outerShdw blurRad="50800" dist="38100" dir="2700000" algn="tl" rotWithShape="0">
              <a:schemeClr val="bg2">
                <a:alpha val="40000"/>
              </a:schemeClr>
            </a:outerShdw>
          </a:effectLst>
        </c:spPr>
      </c:pivotFmt>
      <c:pivotFmt>
        <c:idx val="16"/>
        <c:spPr>
          <a:solidFill>
            <a:schemeClr val="accent3">
              <a:lumMod val="40000"/>
              <a:lumOff val="60000"/>
            </a:schemeClr>
          </a:solidFill>
          <a:ln w="38100">
            <a:noFill/>
          </a:ln>
          <a:effectLst>
            <a:outerShdw blurRad="50800" dist="38100" dir="2700000" algn="tl" rotWithShape="0">
              <a:schemeClr val="bg2">
                <a:alpha val="40000"/>
              </a:schemeClr>
            </a:outerShdw>
          </a:effectLst>
        </c:spPr>
      </c:pivotFmt>
      <c:pivotFmt>
        <c:idx val="17"/>
        <c:spPr>
          <a:solidFill>
            <a:srgbClr val="FF7900"/>
          </a:solidFill>
          <a:ln w="38100">
            <a:noFill/>
          </a:ln>
          <a:effectLst>
            <a:outerShdw blurRad="50800" dist="38100" dir="2700000" algn="tl" rotWithShape="0">
              <a:schemeClr val="bg2">
                <a:alpha val="40000"/>
              </a:schemeClr>
            </a:outerShdw>
          </a:effectLst>
        </c:spPr>
      </c:pivotFmt>
      <c:pivotFmt>
        <c:idx val="18"/>
        <c:spPr>
          <a:solidFill>
            <a:srgbClr val="FF7900"/>
          </a:solidFill>
          <a:ln w="19050">
            <a:solidFill>
              <a:schemeClr val="lt1"/>
            </a:solidFill>
          </a:ln>
          <a:effectLst/>
        </c:spPr>
      </c:pivotFmt>
      <c:pivotFmt>
        <c:idx val="19"/>
        <c:spPr>
          <a:solidFill>
            <a:srgbClr val="FF7900"/>
          </a:solidFill>
          <a:ln w="19050">
            <a:solidFill>
              <a:schemeClr val="lt1"/>
            </a:solidFill>
          </a:ln>
          <a:effectLst/>
        </c:spPr>
      </c:pivotFmt>
      <c:pivotFmt>
        <c:idx val="20"/>
        <c:spPr>
          <a:solidFill>
            <a:schemeClr val="accent4">
              <a:lumMod val="40000"/>
              <a:lumOff val="60000"/>
            </a:schemeClr>
          </a:solidFill>
          <a:ln w="38100">
            <a:noFill/>
          </a:ln>
          <a:effectLst>
            <a:outerShdw blurRad="50800" dist="38100" dir="2700000" algn="tl" rotWithShape="0">
              <a:schemeClr val="bg2">
                <a:alpha val="40000"/>
              </a:schemeClr>
            </a:outerShdw>
          </a:effectLst>
        </c:spPr>
      </c:pivotFmt>
    </c:pivotFmts>
    <c:plotArea>
      <c:layout>
        <c:manualLayout>
          <c:layoutTarget val="inner"/>
          <c:xMode val="edge"/>
          <c:yMode val="edge"/>
          <c:x val="4.4450067982392753E-2"/>
          <c:y val="0.24477503152998215"/>
          <c:w val="0.46830951540797894"/>
          <c:h val="0.70322097194241073"/>
        </c:manualLayout>
      </c:layout>
      <c:pieChart>
        <c:varyColors val="1"/>
        <c:ser>
          <c:idx val="0"/>
          <c:order val="0"/>
          <c:tx>
            <c:strRef>
              <c:f>charts!$K$3</c:f>
              <c:strCache>
                <c:ptCount val="1"/>
                <c:pt idx="0">
                  <c:v>Total</c:v>
                </c:pt>
              </c:strCache>
            </c:strRef>
          </c:tx>
          <c:spPr>
            <a:solidFill>
              <a:srgbClr val="FF7900"/>
            </a:solidFill>
            <a:ln w="38100">
              <a:noFill/>
            </a:ln>
            <a:effectLst>
              <a:outerShdw blurRad="50800" dist="38100" dir="2700000" algn="tl" rotWithShape="0">
                <a:prstClr val="black">
                  <a:alpha val="40000"/>
                </a:prstClr>
              </a:outerShdw>
            </a:effectLst>
          </c:spPr>
          <c:dPt>
            <c:idx val="0"/>
            <c:bubble3D val="0"/>
            <c:explosion val="3"/>
            <c:spPr>
              <a:solidFill>
                <a:srgbClr val="FFB36D"/>
              </a:solidFill>
              <a:ln w="38100">
                <a:noFill/>
              </a:ln>
              <a:effectLst>
                <a:outerShdw blurRad="50800" dist="38100" dir="2700000" algn="tl" rotWithShape="0">
                  <a:schemeClr val="bg2">
                    <a:alpha val="40000"/>
                  </a:schemeClr>
                </a:outerShdw>
              </a:effectLst>
            </c:spPr>
            <c:extLst>
              <c:ext xmlns:c16="http://schemas.microsoft.com/office/drawing/2014/chart" uri="{C3380CC4-5D6E-409C-BE32-E72D297353CC}">
                <c16:uniqueId val="{00000010-1951-4B92-87CB-55976447C60B}"/>
              </c:ext>
            </c:extLst>
          </c:dPt>
          <c:dPt>
            <c:idx val="1"/>
            <c:bubble3D val="0"/>
            <c:explosion val="3"/>
            <c:spPr>
              <a:solidFill>
                <a:schemeClr val="accent3">
                  <a:lumMod val="40000"/>
                  <a:lumOff val="60000"/>
                </a:schemeClr>
              </a:solidFill>
              <a:ln w="38100">
                <a:noFill/>
              </a:ln>
              <a:effectLst>
                <a:outerShdw blurRad="50800" dist="38100" dir="2700000" algn="tl" rotWithShape="0">
                  <a:schemeClr val="bg2">
                    <a:alpha val="40000"/>
                  </a:schemeClr>
                </a:outerShdw>
              </a:effectLst>
            </c:spPr>
            <c:extLst>
              <c:ext xmlns:c16="http://schemas.microsoft.com/office/drawing/2014/chart" uri="{C3380CC4-5D6E-409C-BE32-E72D297353CC}">
                <c16:uniqueId val="{0000000E-1951-4B92-87CB-55976447C60B}"/>
              </c:ext>
            </c:extLst>
          </c:dPt>
          <c:dPt>
            <c:idx val="2"/>
            <c:bubble3D val="0"/>
            <c:explosion val="3"/>
            <c:spPr>
              <a:solidFill>
                <a:srgbClr val="FF7900"/>
              </a:solidFill>
              <a:ln w="38100">
                <a:noFill/>
              </a:ln>
              <a:effectLst>
                <a:outerShdw blurRad="50800" dist="38100" dir="2700000" algn="tl" rotWithShape="0">
                  <a:schemeClr val="bg2">
                    <a:alpha val="40000"/>
                  </a:schemeClr>
                </a:outerShdw>
              </a:effectLst>
            </c:spPr>
            <c:extLst>
              <c:ext xmlns:c16="http://schemas.microsoft.com/office/drawing/2014/chart" uri="{C3380CC4-5D6E-409C-BE32-E72D297353CC}">
                <c16:uniqueId val="{0000000F-1951-4B92-87CB-55976447C60B}"/>
              </c:ext>
            </c:extLst>
          </c:dPt>
          <c:dPt>
            <c:idx val="3"/>
            <c:bubble3D val="0"/>
            <c:explosion val="3"/>
            <c:spPr>
              <a:solidFill>
                <a:schemeClr val="accent4">
                  <a:lumMod val="40000"/>
                  <a:lumOff val="60000"/>
                </a:schemeClr>
              </a:solidFill>
              <a:ln w="38100">
                <a:noFill/>
              </a:ln>
              <a:effectLst>
                <a:outerShdw blurRad="50800" dist="38100" dir="2700000" algn="tl" rotWithShape="0">
                  <a:schemeClr val="bg2">
                    <a:alpha val="40000"/>
                  </a:schemeClr>
                </a:outerShdw>
              </a:effectLst>
            </c:spPr>
            <c:extLst>
              <c:ext xmlns:c16="http://schemas.microsoft.com/office/drawing/2014/chart" uri="{C3380CC4-5D6E-409C-BE32-E72D297353CC}">
                <c16:uniqueId val="{00000011-1951-4B92-87CB-55976447C60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charts!$J$4:$J$7</c:f>
              <c:strCache>
                <c:ptCount val="4"/>
                <c:pt idx="0">
                  <c:v>Computers&amp;Accessories</c:v>
                </c:pt>
                <c:pt idx="1">
                  <c:v>Electronics</c:v>
                </c:pt>
                <c:pt idx="2">
                  <c:v>Home&amp;Kitchen</c:v>
                </c:pt>
                <c:pt idx="3">
                  <c:v>OfficeProducts</c:v>
                </c:pt>
              </c:strCache>
            </c:strRef>
          </c:cat>
          <c:val>
            <c:numRef>
              <c:f>charts!$K$4:$K$7</c:f>
              <c:numCache>
                <c:formatCode>0</c:formatCode>
                <c:ptCount val="4"/>
                <c:pt idx="0">
                  <c:v>297</c:v>
                </c:pt>
                <c:pt idx="1">
                  <c:v>382</c:v>
                </c:pt>
                <c:pt idx="2">
                  <c:v>436</c:v>
                </c:pt>
                <c:pt idx="3">
                  <c:v>29</c:v>
                </c:pt>
              </c:numCache>
            </c:numRef>
          </c:val>
          <c:extLst>
            <c:ext xmlns:c16="http://schemas.microsoft.com/office/drawing/2014/chart" uri="{C3380CC4-5D6E-409C-BE32-E72D297353CC}">
              <c16:uniqueId val="{0000000C-1951-4B92-87CB-55976447C60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263568800199393"/>
          <c:y val="0.26199367762435916"/>
          <c:w val="0.3436366296435619"/>
          <c:h val="0.65504629842105855"/>
        </c:manualLayout>
      </c:layout>
      <c:overlay val="0"/>
      <c:spPr>
        <a:noFill/>
        <a:ln>
          <a:noFill/>
        </a:ln>
        <a:effectLst/>
      </c:spPr>
      <c:txPr>
        <a:bodyPr rot="0" spcFirstLastPara="1" vertOverflow="ellipsis" vert="horz" wrap="square" anchor="ctr" anchorCtr="1"/>
        <a:lstStyle/>
        <a:p>
          <a:pPr>
            <a:defRPr sz="11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[amazon_excel.xlsx]charts!PivotTable6</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FFB36D"/>
              </a:gs>
              <a:gs pos="4000">
                <a:srgbClr val="FF7900"/>
              </a:gs>
              <a:gs pos="89000">
                <a:srgbClr val="FF9D43"/>
              </a:gs>
            </a:gsLst>
            <a:lin ang="5400000" scaled="1"/>
          </a:gradFill>
          <a:ln>
            <a:noFill/>
          </a:ln>
          <a:effectLst>
            <a:glow rad="63500">
              <a:schemeClr val="accent2">
                <a:satMod val="175000"/>
                <a:alpha val="40000"/>
              </a:schemeClr>
            </a:glow>
            <a:outerShdw blurRad="50800" dist="38100" dir="2700000" algn="tl" rotWithShape="0">
              <a:schemeClr val="bg2">
                <a:lumMod val="90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5388323102736"/>
          <c:y val="8.1499774311650536E-2"/>
          <c:w val="0.82936484807541588"/>
          <c:h val="0.41075398720248191"/>
        </c:manualLayout>
      </c:layout>
      <c:barChart>
        <c:barDir val="col"/>
        <c:grouping val="clustered"/>
        <c:varyColors val="0"/>
        <c:ser>
          <c:idx val="0"/>
          <c:order val="0"/>
          <c:tx>
            <c:strRef>
              <c:f>charts!$N$3</c:f>
              <c:strCache>
                <c:ptCount val="1"/>
                <c:pt idx="0">
                  <c:v>Total</c:v>
                </c:pt>
              </c:strCache>
            </c:strRef>
          </c:tx>
          <c:spPr>
            <a:gradFill>
              <a:gsLst>
                <a:gs pos="100000">
                  <a:srgbClr val="FFB36D"/>
                </a:gs>
                <a:gs pos="4000">
                  <a:srgbClr val="FF7900"/>
                </a:gs>
                <a:gs pos="89000">
                  <a:srgbClr val="FF9D43"/>
                </a:gs>
              </a:gsLst>
              <a:lin ang="5400000" scaled="1"/>
            </a:gradFill>
            <a:ln>
              <a:noFill/>
            </a:ln>
            <a:effectLst>
              <a:glow rad="63500">
                <a:schemeClr val="accent2">
                  <a:satMod val="175000"/>
                  <a:alpha val="40000"/>
                </a:schemeClr>
              </a:glow>
              <a:outerShdw blurRad="50800" dist="38100" dir="2700000" algn="tl" rotWithShape="0">
                <a:schemeClr val="bg2">
                  <a:lumMod val="90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charts!$M$4:$M$12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charts!$N$4:$N$12</c:f>
              <c:numCache>
                <c:formatCode>0</c:formatCode>
                <c:ptCount val="9"/>
                <c:pt idx="0">
                  <c:v>4000</c:v>
                </c:pt>
                <c:pt idx="1">
                  <c:v>3539.8047138047136</c:v>
                </c:pt>
                <c:pt idx="2">
                  <c:v>9719.1570680628265</c:v>
                </c:pt>
                <c:pt idx="3">
                  <c:v>1900</c:v>
                </c:pt>
                <c:pt idx="4">
                  <c:v>4196.7752293577978</c:v>
                </c:pt>
                <c:pt idx="5">
                  <c:v>799</c:v>
                </c:pt>
                <c:pt idx="6">
                  <c:v>1347</c:v>
                </c:pt>
                <c:pt idx="7">
                  <c:v>408.20689655172413</c:v>
                </c:pt>
                <c:pt idx="8">
                  <c:v>150</c:v>
                </c:pt>
              </c:numCache>
            </c:numRef>
          </c:val>
          <c:extLst>
            <c:ext xmlns:c16="http://schemas.microsoft.com/office/drawing/2014/chart" uri="{C3380CC4-5D6E-409C-BE32-E72D297353CC}">
              <c16:uniqueId val="{00000000-0022-4073-BD2C-EE4F6D9FCD73}"/>
            </c:ext>
          </c:extLst>
        </c:ser>
        <c:dLbls>
          <c:showLegendKey val="0"/>
          <c:showVal val="0"/>
          <c:showCatName val="0"/>
          <c:showSerName val="0"/>
          <c:showPercent val="0"/>
          <c:showBubbleSize val="0"/>
        </c:dLbls>
        <c:gapWidth val="150"/>
        <c:axId val="157330335"/>
        <c:axId val="157314495"/>
      </c:barChart>
      <c:catAx>
        <c:axId val="157330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57314495"/>
        <c:crosses val="autoZero"/>
        <c:auto val="1"/>
        <c:lblAlgn val="ctr"/>
        <c:lblOffset val="100"/>
        <c:noMultiLvlLbl val="0"/>
      </c:catAx>
      <c:valAx>
        <c:axId val="157314495"/>
        <c:scaling>
          <c:orientation val="minMax"/>
        </c:scaling>
        <c:delete val="1"/>
        <c:axPos val="l"/>
        <c:numFmt formatCode="0" sourceLinked="1"/>
        <c:majorTickMark val="out"/>
        <c:minorTickMark val="none"/>
        <c:tickLblPos val="nextTo"/>
        <c:crossAx val="157330335"/>
        <c:crosses val="autoZero"/>
        <c:crossBetween val="between"/>
        <c:majorUnit val="4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[amazon_excel.xlsx]charts!PivotTable7</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4">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w="19050">
            <a:noFill/>
          </a:ln>
          <a:effectLst>
            <a:outerShdw blurRad="50800" dist="38100" dir="2700000" algn="tl" rotWithShape="0">
              <a:schemeClr val="bg2">
                <a:alpha val="40000"/>
              </a:schemeClr>
            </a:outerShdw>
          </a:effectLst>
        </c:spPr>
      </c:pivotFmt>
      <c:pivotFmt>
        <c:idx val="11"/>
        <c:spPr>
          <a:solidFill>
            <a:schemeClr val="accent4">
              <a:lumMod val="60000"/>
              <a:lumOff val="40000"/>
            </a:schemeClr>
          </a:solidFill>
          <a:ln w="19050">
            <a:noFill/>
          </a:ln>
          <a:effectLst>
            <a:outerShdw blurRad="50800" dist="38100" dir="2700000" algn="tl" rotWithShape="0">
              <a:schemeClr val="bg2">
                <a:alpha val="40000"/>
              </a:schemeClr>
            </a:outerShdw>
          </a:effectLst>
        </c:spPr>
      </c:pivotFmt>
      <c:pivotFmt>
        <c:idx val="12"/>
        <c:spPr>
          <a:solidFill>
            <a:srgbClr val="FF9D43"/>
          </a:solidFill>
          <a:ln w="19050">
            <a:noFill/>
          </a:ln>
          <a:effectLst>
            <a:outerShdw blurRad="50800" dist="38100" dir="2700000" algn="tl" rotWithShape="0">
              <a:schemeClr val="bg2">
                <a:alpha val="40000"/>
              </a:schemeClr>
            </a:outerShdw>
          </a:effectLst>
        </c:spPr>
      </c:pivotFmt>
      <c:pivotFmt>
        <c:idx val="13"/>
        <c:spPr>
          <a:solidFill>
            <a:srgbClr val="FFB36D"/>
          </a:solidFill>
          <a:ln w="19050">
            <a:noFill/>
          </a:ln>
          <a:effectLst>
            <a:outerShdw blurRad="50800" dist="38100" dir="2700000" algn="tl" rotWithShape="0">
              <a:schemeClr val="bg2">
                <a:alpha val="40000"/>
              </a:schemeClr>
            </a:outerShdw>
          </a:effectLst>
        </c:spPr>
      </c:pivotFmt>
      <c:pivotFmt>
        <c:idx val="14"/>
        <c:spPr>
          <a:solidFill>
            <a:srgbClr val="FF9D43"/>
          </a:solidFill>
          <a:ln w="19050">
            <a:noFill/>
          </a:ln>
          <a:effectLst>
            <a:outerShdw blurRad="50800" dist="38100" dir="2700000" algn="tl" rotWithShape="0">
              <a:schemeClr val="bg2">
                <a:alpha val="40000"/>
              </a:schemeClr>
            </a:outerShdw>
          </a:effectLst>
        </c:spPr>
      </c:pivotFmt>
      <c:pivotFmt>
        <c:idx val="15"/>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1617886503339312"/>
          <c:y val="0.14107101640670544"/>
          <c:w val="0.35157907838671337"/>
          <c:h val="0.74203376521397724"/>
        </c:manualLayout>
      </c:layout>
      <c:doughnutChart>
        <c:varyColors val="1"/>
        <c:ser>
          <c:idx val="0"/>
          <c:order val="0"/>
          <c:tx>
            <c:strRef>
              <c:f>charts!$Q$3</c:f>
              <c:strCache>
                <c:ptCount val="1"/>
                <c:pt idx="0">
                  <c:v>Total</c:v>
                </c:pt>
              </c:strCache>
            </c:strRef>
          </c:tx>
          <c:spPr>
            <a:solidFill>
              <a:schemeClr val="accent4">
                <a:lumMod val="60000"/>
                <a:lumOff val="40000"/>
              </a:schemeClr>
            </a:solidFill>
            <a:ln>
              <a:noFill/>
            </a:ln>
          </c:spPr>
          <c:dPt>
            <c:idx val="0"/>
            <c:bubble3D val="0"/>
            <c:explosion val="2"/>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D4CD-49D4-91DA-44CEB921A36E}"/>
              </c:ext>
            </c:extLst>
          </c:dPt>
          <c:dPt>
            <c:idx val="1"/>
            <c:bubble3D val="0"/>
            <c:explosion val="2"/>
            <c:spPr>
              <a:solidFill>
                <a:srgbClr val="FF9D43"/>
              </a:solidFill>
              <a:ln w="19050">
                <a:noFill/>
              </a:ln>
              <a:effectLst>
                <a:outerShdw blurRad="50800" dist="38100" dir="2700000" algn="tl" rotWithShape="0">
                  <a:schemeClr val="bg2">
                    <a:alpha val="40000"/>
                  </a:schemeClr>
                </a:outerShdw>
              </a:effectLst>
            </c:spPr>
            <c:extLst>
              <c:ext xmlns:c16="http://schemas.microsoft.com/office/drawing/2014/chart" uri="{C3380CC4-5D6E-409C-BE32-E72D297353CC}">
                <c16:uniqueId val="{00000009-D4CD-49D4-91DA-44CEB921A36E}"/>
              </c:ext>
            </c:extLst>
          </c:dPt>
          <c:dPt>
            <c:idx val="2"/>
            <c:bubble3D val="0"/>
            <c:explosion val="2"/>
            <c:spPr>
              <a:solidFill>
                <a:srgbClr val="FFB36D"/>
              </a:solidFill>
              <a:ln w="19050">
                <a:noFill/>
              </a:ln>
              <a:effectLst>
                <a:outerShdw blurRad="50800" dist="38100" dir="2700000" algn="tl" rotWithShape="0">
                  <a:schemeClr val="bg2">
                    <a:alpha val="40000"/>
                  </a:schemeClr>
                </a:outerShdw>
              </a:effectLst>
            </c:spPr>
            <c:extLst>
              <c:ext xmlns:c16="http://schemas.microsoft.com/office/drawing/2014/chart" uri="{C3380CC4-5D6E-409C-BE32-E72D297353CC}">
                <c16:uniqueId val="{00000008-D4CD-49D4-91DA-44CEB921A36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charts!$P$4:$P$6</c:f>
              <c:strCache>
                <c:ptCount val="3"/>
                <c:pt idx="0">
                  <c:v>budget&lt;500</c:v>
                </c:pt>
                <c:pt idx="1">
                  <c:v>mid(500-2000)</c:v>
                </c:pt>
                <c:pt idx="2">
                  <c:v>premium</c:v>
                </c:pt>
              </c:strCache>
            </c:strRef>
          </c:cat>
          <c:val>
            <c:numRef>
              <c:f>charts!$Q$4:$Q$6</c:f>
              <c:numCache>
                <c:formatCode>0</c:formatCode>
                <c:ptCount val="3"/>
                <c:pt idx="0">
                  <c:v>153</c:v>
                </c:pt>
                <c:pt idx="1">
                  <c:v>515</c:v>
                </c:pt>
                <c:pt idx="2">
                  <c:v>483</c:v>
                </c:pt>
              </c:numCache>
            </c:numRef>
          </c:val>
          <c:extLst>
            <c:ext xmlns:c16="http://schemas.microsoft.com/office/drawing/2014/chart" uri="{C3380CC4-5D6E-409C-BE32-E72D297353CC}">
              <c16:uniqueId val="{00000006-D4CD-49D4-91DA-44CEB921A36E}"/>
            </c:ext>
          </c:extLst>
        </c:ser>
        <c:dLbls>
          <c:showLegendKey val="0"/>
          <c:showVal val="1"/>
          <c:showCatName val="0"/>
          <c:showSerName val="0"/>
          <c:showPercent val="0"/>
          <c:showBubbleSize val="0"/>
          <c:showLeaderLines val="1"/>
        </c:dLbls>
        <c:firstSliceAng val="1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charts!$B$4:$B$13</c:f>
              <c:numCache>
                <c:formatCode>0.0</c:formatCode>
                <c:ptCount val="9"/>
                <c:pt idx="0">
                  <c:v>3.8</c:v>
                </c:pt>
                <c:pt idx="1">
                  <c:v>4.1528619528619481</c:v>
                </c:pt>
                <c:pt idx="2">
                  <c:v>4.0617801047120414</c:v>
                </c:pt>
                <c:pt idx="3">
                  <c:v>4</c:v>
                </c:pt>
                <c:pt idx="4">
                  <c:v>4.0399999999999983</c:v>
                </c:pt>
                <c:pt idx="5">
                  <c:v>4.25</c:v>
                </c:pt>
                <c:pt idx="6">
                  <c:v>3.9</c:v>
                </c:pt>
                <c:pt idx="7">
                  <c:v>4.2965517241379301</c:v>
                </c:pt>
                <c:pt idx="8">
                  <c:v>4.3</c:v>
                </c:pt>
              </c:numCache>
            </c:numRef>
          </c:val>
          <c:extLst>
            <c:ext xmlns:c16="http://schemas.microsoft.com/office/drawing/2014/chart" uri="{C3380CC4-5D6E-409C-BE32-E72D297353CC}">
              <c16:uniqueId val="{00000000-CB15-4B80-B335-13E5E1E8A3AB}"/>
            </c:ext>
          </c:extLst>
        </c:ser>
        <c:dLbls>
          <c:showLegendKey val="0"/>
          <c:showVal val="0"/>
          <c:showCatName val="0"/>
          <c:showSerName val="0"/>
          <c:showPercent val="0"/>
          <c:showBubbleSize val="0"/>
        </c:dLbls>
        <c:gapWidth val="219"/>
        <c:overlap val="-27"/>
        <c:axId val="2057775183"/>
        <c:axId val="2057779983"/>
      </c:barChart>
      <c:catAx>
        <c:axId val="205777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779983"/>
        <c:crosses val="autoZero"/>
        <c:auto val="1"/>
        <c:lblAlgn val="ctr"/>
        <c:lblOffset val="100"/>
        <c:noMultiLvlLbl val="0"/>
      </c:catAx>
      <c:valAx>
        <c:axId val="20577799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77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charts!$H$3</c:f>
              <c:strCache>
                <c:ptCount val="1"/>
                <c:pt idx="0">
                  <c:v>Total</c:v>
                </c:pt>
              </c:strCache>
            </c:strRef>
          </c:tx>
          <c:spPr>
            <a:solidFill>
              <a:schemeClr val="accent1"/>
            </a:solidFill>
            <a:ln>
              <a:noFill/>
            </a:ln>
            <a:effectLst/>
          </c:spPr>
          <c:invertIfNegative val="0"/>
          <c:cat>
            <c:strRef>
              <c:f>charts!$G$4:$G$12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charts!$H$4:$H$12</c:f>
              <c:numCache>
                <c:formatCode>0.0</c:formatCode>
                <c:ptCount val="9"/>
                <c:pt idx="0">
                  <c:v>42</c:v>
                </c:pt>
                <c:pt idx="1">
                  <c:v>52.36700336700337</c:v>
                </c:pt>
                <c:pt idx="2">
                  <c:v>48.856020942408378</c:v>
                </c:pt>
                <c:pt idx="3">
                  <c:v>53</c:v>
                </c:pt>
                <c:pt idx="4">
                  <c:v>40.298165137614681</c:v>
                </c:pt>
                <c:pt idx="5">
                  <c:v>57.5</c:v>
                </c:pt>
                <c:pt idx="6">
                  <c:v>46</c:v>
                </c:pt>
                <c:pt idx="7">
                  <c:v>12.448275862068966</c:v>
                </c:pt>
                <c:pt idx="8">
                  <c:v>0</c:v>
                </c:pt>
              </c:numCache>
            </c:numRef>
          </c:val>
          <c:extLst>
            <c:ext xmlns:c16="http://schemas.microsoft.com/office/drawing/2014/chart" uri="{C3380CC4-5D6E-409C-BE32-E72D297353CC}">
              <c16:uniqueId val="{00000000-6770-4404-A0DA-DD4CAE26DF3C}"/>
            </c:ext>
          </c:extLst>
        </c:ser>
        <c:dLbls>
          <c:showLegendKey val="0"/>
          <c:showVal val="0"/>
          <c:showCatName val="0"/>
          <c:showSerName val="0"/>
          <c:showPercent val="0"/>
          <c:showBubbleSize val="0"/>
        </c:dLbls>
        <c:gapWidth val="182"/>
        <c:axId val="157364415"/>
        <c:axId val="157353375"/>
      </c:barChart>
      <c:catAx>
        <c:axId val="15736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3375"/>
        <c:crosses val="autoZero"/>
        <c:auto val="1"/>
        <c:lblAlgn val="ctr"/>
        <c:lblOffset val="100"/>
        <c:noMultiLvlLbl val="0"/>
      </c:catAx>
      <c:valAx>
        <c:axId val="15735337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6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4.1067013311062488E-2"/>
          <c:y val="0.18757045472541556"/>
          <c:w val="0.62186628850914394"/>
          <c:h val="0.76139261008213421"/>
        </c:manualLayout>
      </c:layout>
      <c:pieChart>
        <c:varyColors val="1"/>
        <c:ser>
          <c:idx val="0"/>
          <c:order val="0"/>
          <c:tx>
            <c:strRef>
              <c:f>charts!$K$3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charts!$J$4:$J$7</c:f>
              <c:strCache>
                <c:ptCount val="4"/>
                <c:pt idx="0">
                  <c:v>Computers&amp;Accessories</c:v>
                </c:pt>
                <c:pt idx="1">
                  <c:v>Electronics</c:v>
                </c:pt>
                <c:pt idx="2">
                  <c:v>Home&amp;Kitchen</c:v>
                </c:pt>
                <c:pt idx="3">
                  <c:v>OfficeProducts</c:v>
                </c:pt>
              </c:strCache>
            </c:strRef>
          </c:cat>
          <c:val>
            <c:numRef>
              <c:f>charts!$K$4:$K$7</c:f>
              <c:numCache>
                <c:formatCode>0</c:formatCode>
                <c:ptCount val="4"/>
                <c:pt idx="0">
                  <c:v>297</c:v>
                </c:pt>
                <c:pt idx="1">
                  <c:v>382</c:v>
                </c:pt>
                <c:pt idx="2">
                  <c:v>436</c:v>
                </c:pt>
                <c:pt idx="3">
                  <c:v>29</c:v>
                </c:pt>
              </c:numCache>
            </c:numRef>
          </c:val>
          <c:extLst>
            <c:ext xmlns:c16="http://schemas.microsoft.com/office/drawing/2014/chart" uri="{C3380CC4-5D6E-409C-BE32-E72D297353CC}">
              <c16:uniqueId val="{0000000C-A102-41A5-BF84-9EB949140A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56930619933642"/>
          <c:y val="0.3032209687008468"/>
          <c:w val="0.33333333333333331"/>
          <c:h val="0.38822289573055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charts!$N$3</c:f>
              <c:strCache>
                <c:ptCount val="1"/>
                <c:pt idx="0">
                  <c:v>Total</c:v>
                </c:pt>
              </c:strCache>
            </c:strRef>
          </c:tx>
          <c:spPr>
            <a:ln w="28575" cap="rnd">
              <a:solidFill>
                <a:schemeClr val="accent1"/>
              </a:solidFill>
              <a:round/>
            </a:ln>
            <a:effectLst/>
          </c:spPr>
          <c:marker>
            <c:symbol val="none"/>
          </c:marker>
          <c:cat>
            <c:strRef>
              <c:f>charts!$M$4:$M$12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charts!$N$4:$N$12</c:f>
              <c:numCache>
                <c:formatCode>0</c:formatCode>
                <c:ptCount val="9"/>
                <c:pt idx="0">
                  <c:v>4000</c:v>
                </c:pt>
                <c:pt idx="1">
                  <c:v>3539.8047138047136</c:v>
                </c:pt>
                <c:pt idx="2">
                  <c:v>9719.1570680628265</c:v>
                </c:pt>
                <c:pt idx="3">
                  <c:v>1900</c:v>
                </c:pt>
                <c:pt idx="4">
                  <c:v>4196.7752293577978</c:v>
                </c:pt>
                <c:pt idx="5">
                  <c:v>799</c:v>
                </c:pt>
                <c:pt idx="6">
                  <c:v>1347</c:v>
                </c:pt>
                <c:pt idx="7">
                  <c:v>408.20689655172413</c:v>
                </c:pt>
                <c:pt idx="8">
                  <c:v>150</c:v>
                </c:pt>
              </c:numCache>
            </c:numRef>
          </c:val>
          <c:smooth val="0"/>
          <c:extLst>
            <c:ext xmlns:c16="http://schemas.microsoft.com/office/drawing/2014/chart" uri="{C3380CC4-5D6E-409C-BE32-E72D297353CC}">
              <c16:uniqueId val="{00000000-FCB9-4E1F-A8F9-FA9E541A792D}"/>
            </c:ext>
          </c:extLst>
        </c:ser>
        <c:dLbls>
          <c:showLegendKey val="0"/>
          <c:showVal val="0"/>
          <c:showCatName val="0"/>
          <c:showSerName val="0"/>
          <c:showPercent val="0"/>
          <c:showBubbleSize val="0"/>
        </c:dLbls>
        <c:smooth val="0"/>
        <c:axId val="157330335"/>
        <c:axId val="157314495"/>
      </c:lineChart>
      <c:catAx>
        <c:axId val="15733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4495"/>
        <c:crosses val="autoZero"/>
        <c:auto val="1"/>
        <c:lblAlgn val="ctr"/>
        <c:lblOffset val="100"/>
        <c:noMultiLvlLbl val="0"/>
      </c:catAx>
      <c:valAx>
        <c:axId val="157314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charts!$Q$3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charts!$P$4:$P$6</c:f>
              <c:strCache>
                <c:ptCount val="3"/>
                <c:pt idx="0">
                  <c:v>budget&lt;500</c:v>
                </c:pt>
                <c:pt idx="1">
                  <c:v>mid(500-2000)</c:v>
                </c:pt>
                <c:pt idx="2">
                  <c:v>premium</c:v>
                </c:pt>
              </c:strCache>
            </c:strRef>
          </c:cat>
          <c:val>
            <c:numRef>
              <c:f>charts!$Q$4:$Q$6</c:f>
              <c:numCache>
                <c:formatCode>0</c:formatCode>
                <c:ptCount val="3"/>
                <c:pt idx="0">
                  <c:v>153</c:v>
                </c:pt>
                <c:pt idx="1">
                  <c:v>515</c:v>
                </c:pt>
                <c:pt idx="2">
                  <c:v>483</c:v>
                </c:pt>
              </c:numCache>
            </c:numRef>
          </c:val>
          <c:extLst>
            <c:ext xmlns:c16="http://schemas.microsoft.com/office/drawing/2014/chart" uri="{C3380CC4-5D6E-409C-BE32-E72D297353CC}">
              <c16:uniqueId val="{00000006-B7FC-40BC-B330-17D2773E2D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[amazon_excel.xlsx]charts!PivotTable3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charts!$E$3</c:f>
              <c:strCache>
                <c:ptCount val="1"/>
                <c:pt idx="0">
                  <c:v>Total</c:v>
                </c:pt>
              </c:strCache>
            </c:strRef>
          </c:tx>
          <c:spPr>
            <a:solidFill>
              <a:schemeClr val="accent1"/>
            </a:solidFill>
            <a:ln>
              <a:noFill/>
            </a:ln>
            <a:effectLst/>
          </c:spPr>
          <c:invertIfNegative val="0"/>
          <c:cat>
            <c:strRef>
              <c:f>charts!$D$4:$D$9</c:f>
              <c:strCache>
                <c:ptCount val="6"/>
                <c:pt idx="0">
                  <c:v>Amazon Basics High-Speed HDMI Cable,</c:v>
                </c:pt>
                <c:pt idx="1">
                  <c:v>boAt Bassheads 100 in Ear</c:v>
                </c:pt>
                <c:pt idx="2">
                  <c:v>boAt BassHeads 100 in-Ear Wired</c:v>
                </c:pt>
                <c:pt idx="3">
                  <c:v>Redmi 9 Activ (Carbon Black,</c:v>
                </c:pt>
                <c:pt idx="4">
                  <c:v>Redmi 9A Sport (Carbon Black,</c:v>
                </c:pt>
                <c:pt idx="5">
                  <c:v>Redmi 9A Sport (Coral Green,</c:v>
                </c:pt>
              </c:strCache>
            </c:strRef>
          </c:cat>
          <c:val>
            <c:numRef>
              <c:f>charts!$E$4:$E$9</c:f>
              <c:numCache>
                <c:formatCode>General</c:formatCode>
                <c:ptCount val="6"/>
                <c:pt idx="0">
                  <c:v>426973</c:v>
                </c:pt>
                <c:pt idx="1">
                  <c:v>363713</c:v>
                </c:pt>
                <c:pt idx="2">
                  <c:v>363711</c:v>
                </c:pt>
                <c:pt idx="3">
                  <c:v>313836</c:v>
                </c:pt>
                <c:pt idx="4">
                  <c:v>313832</c:v>
                </c:pt>
                <c:pt idx="5">
                  <c:v>313836</c:v>
                </c:pt>
              </c:numCache>
            </c:numRef>
          </c:val>
          <c:extLst>
            <c:ext xmlns:c16="http://schemas.microsoft.com/office/drawing/2014/chart" uri="{C3380CC4-5D6E-409C-BE32-E72D297353CC}">
              <c16:uniqueId val="{00000000-6C82-4CB5-AC1A-02AD19010C18}"/>
            </c:ext>
          </c:extLst>
        </c:ser>
        <c:dLbls>
          <c:showLegendKey val="0"/>
          <c:showVal val="0"/>
          <c:showCatName val="0"/>
          <c:showSerName val="0"/>
          <c:showPercent val="0"/>
          <c:showBubbleSize val="0"/>
        </c:dLbls>
        <c:gapWidth val="219"/>
        <c:overlap val="-27"/>
        <c:axId val="2057784783"/>
        <c:axId val="2057772303"/>
      </c:barChart>
      <c:catAx>
        <c:axId val="205778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772303"/>
        <c:crosses val="autoZero"/>
        <c:auto val="1"/>
        <c:lblAlgn val="ctr"/>
        <c:lblOffset val="100"/>
        <c:noMultiLvlLbl val="0"/>
      </c:catAx>
      <c:valAx>
        <c:axId val="205777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78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vecteezy.com/vector-art/11859920-black-and-white-discount-label-icon-on-isolated-background" TargetMode="External"/><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jpeg"/><Relationship Id="rId12" Type="http://schemas.openxmlformats.org/officeDocument/2006/relationships/hyperlink" Target="https://sakomar.blogspot.com/2014/09/recensione-cose-che-nessuno-sa-di.html" TargetMode="External"/><Relationship Id="rId17" Type="http://schemas.openxmlformats.org/officeDocument/2006/relationships/chart" Target="../charts/chart5.xml"/><Relationship Id="rId2" Type="http://schemas.openxmlformats.org/officeDocument/2006/relationships/hyperlink" Target="https://www.iconfinder.com/icons/9700985/award_trophy_winner_achievement_icon" TargetMode="External"/><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hyperlink" Target="https://www.vecteezy.com/vector-art/23362701-product-icon-design" TargetMode="External"/><Relationship Id="rId11" Type="http://schemas.openxmlformats.org/officeDocument/2006/relationships/image" Target="../media/image6.png"/><Relationship Id="rId5" Type="http://schemas.openxmlformats.org/officeDocument/2006/relationships/image" Target="../media/image3.jpeg"/><Relationship Id="rId15" Type="http://schemas.openxmlformats.org/officeDocument/2006/relationships/chart" Target="../charts/chart3.xml"/><Relationship Id="rId10" Type="http://schemas.openxmlformats.org/officeDocument/2006/relationships/hyperlink" Target="https://www.vecteezy.com/vector-art/12528094-three-star-and-thumb-up-rating-icon-customer-excellent-review-and-feedback-thin-line-illustration-ranking-client-satisfaction-contour-symbol" TargetMode="External"/><Relationship Id="rId19" Type="http://schemas.openxmlformats.org/officeDocument/2006/relationships/hyperlink" Target="#Insights!A1"/><Relationship Id="rId4" Type="http://schemas.openxmlformats.org/officeDocument/2006/relationships/hyperlink" Target="https://www.iconfinder.com/icons/9699472/medal_award_achievement_certificate_icon" TargetMode="External"/><Relationship Id="rId9" Type="http://schemas.openxmlformats.org/officeDocument/2006/relationships/image" Target="../media/image5.jpe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hyperlink" Target="#overview!A1"/><Relationship Id="rId2" Type="http://schemas.openxmlformats.org/officeDocument/2006/relationships/hyperlink" Target="https://sakomar.blogspot.com/2014/09/recensione-cose-che-nessuno-sa-di.html" TargetMode="External"/><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34848</xdr:colOff>
      <xdr:row>0</xdr:row>
      <xdr:rowOff>23230</xdr:rowOff>
    </xdr:from>
    <xdr:to>
      <xdr:col>23</xdr:col>
      <xdr:colOff>0</xdr:colOff>
      <xdr:row>39</xdr:row>
      <xdr:rowOff>0</xdr:rowOff>
    </xdr:to>
    <xdr:sp macro="" textlink="">
      <xdr:nvSpPr>
        <xdr:cNvPr id="2" name="Rectangle: Rounded Corners 1">
          <a:extLst>
            <a:ext uri="{FF2B5EF4-FFF2-40B4-BE49-F238E27FC236}">
              <a16:creationId xmlns:a16="http://schemas.microsoft.com/office/drawing/2014/main" id="{0E2760A4-A84E-162D-DD71-84612B7BACAC}"/>
            </a:ext>
          </a:extLst>
        </xdr:cNvPr>
        <xdr:cNvSpPr/>
      </xdr:nvSpPr>
      <xdr:spPr>
        <a:xfrm>
          <a:off x="34848" y="23230"/>
          <a:ext cx="13839902" cy="7406270"/>
        </a:xfrm>
        <a:prstGeom prst="roundRect">
          <a:avLst>
            <a:gd name="adj" fmla="val 824"/>
          </a:avLst>
        </a:prstGeom>
        <a:solidFill>
          <a:schemeClr val="tx1"/>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228063</xdr:colOff>
      <xdr:row>0</xdr:row>
      <xdr:rowOff>134155</xdr:rowOff>
    </xdr:from>
    <xdr:to>
      <xdr:col>22</xdr:col>
      <xdr:colOff>389049</xdr:colOff>
      <xdr:row>6</xdr:row>
      <xdr:rowOff>107324</xdr:rowOff>
    </xdr:to>
    <xdr:sp macro="" textlink="">
      <xdr:nvSpPr>
        <xdr:cNvPr id="3" name="Rectangle: Rounded Corners 2">
          <a:extLst>
            <a:ext uri="{FF2B5EF4-FFF2-40B4-BE49-F238E27FC236}">
              <a16:creationId xmlns:a16="http://schemas.microsoft.com/office/drawing/2014/main" id="{1752BD52-B4BA-DE9B-38E2-B5848C2CDDFA}"/>
            </a:ext>
          </a:extLst>
        </xdr:cNvPr>
        <xdr:cNvSpPr/>
      </xdr:nvSpPr>
      <xdr:spPr>
        <a:xfrm>
          <a:off x="228063" y="134155"/>
          <a:ext cx="13442324" cy="1100070"/>
        </a:xfrm>
        <a:prstGeom prst="roundRect">
          <a:avLst>
            <a:gd name="adj" fmla="val 9857"/>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221712</xdr:colOff>
      <xdr:row>7</xdr:row>
      <xdr:rowOff>115455</xdr:rowOff>
    </xdr:from>
    <xdr:to>
      <xdr:col>2</xdr:col>
      <xdr:colOff>476249</xdr:colOff>
      <xdr:row>38</xdr:row>
      <xdr:rowOff>0</xdr:rowOff>
    </xdr:to>
    <xdr:sp macro="" textlink="">
      <xdr:nvSpPr>
        <xdr:cNvPr id="4" name="Rectangle: Rounded Corners 3">
          <a:extLst>
            <a:ext uri="{FF2B5EF4-FFF2-40B4-BE49-F238E27FC236}">
              <a16:creationId xmlns:a16="http://schemas.microsoft.com/office/drawing/2014/main" id="{B8D18534-67D0-42DB-92E2-8F8B4C39A63E}"/>
            </a:ext>
          </a:extLst>
        </xdr:cNvPr>
        <xdr:cNvSpPr/>
      </xdr:nvSpPr>
      <xdr:spPr>
        <a:xfrm>
          <a:off x="221712" y="1448955"/>
          <a:ext cx="1461037" cy="5790045"/>
        </a:xfrm>
        <a:prstGeom prst="roundRect">
          <a:avLst>
            <a:gd name="adj" fmla="val 3954"/>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2</xdr:col>
      <xdr:colOff>562839</xdr:colOff>
      <xdr:row>5</xdr:row>
      <xdr:rowOff>72159</xdr:rowOff>
    </xdr:from>
    <xdr:to>
      <xdr:col>6</xdr:col>
      <xdr:colOff>424294</xdr:colOff>
      <xdr:row>9</xdr:row>
      <xdr:rowOff>133349</xdr:rowOff>
    </xdr:to>
    <xdr:sp macro="" textlink="">
      <xdr:nvSpPr>
        <xdr:cNvPr id="5" name="Rectangle: Rounded Corners 4">
          <a:extLst>
            <a:ext uri="{FF2B5EF4-FFF2-40B4-BE49-F238E27FC236}">
              <a16:creationId xmlns:a16="http://schemas.microsoft.com/office/drawing/2014/main" id="{556D6063-E9E1-4D7C-A1B3-5712CC64AC10}"/>
            </a:ext>
          </a:extLst>
        </xdr:cNvPr>
        <xdr:cNvSpPr/>
      </xdr:nvSpPr>
      <xdr:spPr>
        <a:xfrm>
          <a:off x="1775112" y="1010227"/>
          <a:ext cx="2286000" cy="811645"/>
        </a:xfrm>
        <a:prstGeom prst="roundRect">
          <a:avLst>
            <a:gd name="adj" fmla="val 9857"/>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6</xdr:col>
      <xdr:colOff>498761</xdr:colOff>
      <xdr:row>5</xdr:row>
      <xdr:rowOff>57727</xdr:rowOff>
    </xdr:from>
    <xdr:to>
      <xdr:col>10</xdr:col>
      <xdr:colOff>360215</xdr:colOff>
      <xdr:row>9</xdr:row>
      <xdr:rowOff>133349</xdr:rowOff>
    </xdr:to>
    <xdr:sp macro="" textlink="">
      <xdr:nvSpPr>
        <xdr:cNvPr id="6" name="Rectangle: Rounded Corners 5">
          <a:extLst>
            <a:ext uri="{FF2B5EF4-FFF2-40B4-BE49-F238E27FC236}">
              <a16:creationId xmlns:a16="http://schemas.microsoft.com/office/drawing/2014/main" id="{CA43A362-5D6B-4A05-8E7F-C63FF462C72F}"/>
            </a:ext>
          </a:extLst>
        </xdr:cNvPr>
        <xdr:cNvSpPr/>
      </xdr:nvSpPr>
      <xdr:spPr>
        <a:xfrm>
          <a:off x="4135579" y="995795"/>
          <a:ext cx="2286000" cy="826077"/>
        </a:xfrm>
        <a:prstGeom prst="roundRect">
          <a:avLst>
            <a:gd name="adj" fmla="val 9857"/>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10</xdr:col>
      <xdr:colOff>463548</xdr:colOff>
      <xdr:row>5</xdr:row>
      <xdr:rowOff>57726</xdr:rowOff>
    </xdr:from>
    <xdr:to>
      <xdr:col>14</xdr:col>
      <xdr:colOff>325003</xdr:colOff>
      <xdr:row>9</xdr:row>
      <xdr:rowOff>133348</xdr:rowOff>
    </xdr:to>
    <xdr:sp macro="" textlink="">
      <xdr:nvSpPr>
        <xdr:cNvPr id="7" name="Rectangle: Rounded Corners 6">
          <a:extLst>
            <a:ext uri="{FF2B5EF4-FFF2-40B4-BE49-F238E27FC236}">
              <a16:creationId xmlns:a16="http://schemas.microsoft.com/office/drawing/2014/main" id="{663CAFD9-7D51-435D-9ABE-1670B807633E}"/>
            </a:ext>
          </a:extLst>
        </xdr:cNvPr>
        <xdr:cNvSpPr/>
      </xdr:nvSpPr>
      <xdr:spPr>
        <a:xfrm>
          <a:off x="6524912" y="995794"/>
          <a:ext cx="2286000" cy="826077"/>
        </a:xfrm>
        <a:prstGeom prst="roundRect">
          <a:avLst>
            <a:gd name="adj" fmla="val 9857"/>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2</xdr:col>
      <xdr:colOff>596940</xdr:colOff>
      <xdr:row>10</xdr:row>
      <xdr:rowOff>57729</xdr:rowOff>
    </xdr:from>
    <xdr:to>
      <xdr:col>8</xdr:col>
      <xdr:colOff>591704</xdr:colOff>
      <xdr:row>23</xdr:row>
      <xdr:rowOff>28863</xdr:rowOff>
    </xdr:to>
    <xdr:sp macro="" textlink="">
      <xdr:nvSpPr>
        <xdr:cNvPr id="12" name="Rectangle: Rounded Corners 11">
          <a:extLst>
            <a:ext uri="{FF2B5EF4-FFF2-40B4-BE49-F238E27FC236}">
              <a16:creationId xmlns:a16="http://schemas.microsoft.com/office/drawing/2014/main" id="{699E6915-7D27-4B79-ADDD-B90F57DA3670}"/>
            </a:ext>
          </a:extLst>
        </xdr:cNvPr>
        <xdr:cNvSpPr/>
      </xdr:nvSpPr>
      <xdr:spPr>
        <a:xfrm>
          <a:off x="1809213" y="1933865"/>
          <a:ext cx="3631582" cy="2410112"/>
        </a:xfrm>
        <a:prstGeom prst="roundRect">
          <a:avLst>
            <a:gd name="adj" fmla="val 3756"/>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3</xdr:col>
      <xdr:colOff>1771</xdr:colOff>
      <xdr:row>23</xdr:row>
      <xdr:rowOff>129887</xdr:rowOff>
    </xdr:from>
    <xdr:to>
      <xdr:col>8</xdr:col>
      <xdr:colOff>577272</xdr:colOff>
      <xdr:row>38</xdr:row>
      <xdr:rowOff>31750</xdr:rowOff>
    </xdr:to>
    <xdr:sp macro="" textlink="">
      <xdr:nvSpPr>
        <xdr:cNvPr id="13" name="Rectangle: Rounded Corners 12">
          <a:extLst>
            <a:ext uri="{FF2B5EF4-FFF2-40B4-BE49-F238E27FC236}">
              <a16:creationId xmlns:a16="http://schemas.microsoft.com/office/drawing/2014/main" id="{12B67C41-60DD-49EC-BDFE-F7FAF1289FD2}"/>
            </a:ext>
          </a:extLst>
        </xdr:cNvPr>
        <xdr:cNvSpPr/>
      </xdr:nvSpPr>
      <xdr:spPr>
        <a:xfrm>
          <a:off x="1811521" y="4511387"/>
          <a:ext cx="3591751" cy="2759363"/>
        </a:xfrm>
        <a:prstGeom prst="roundRect">
          <a:avLst>
            <a:gd name="adj" fmla="val 3757"/>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15</xdr:col>
      <xdr:colOff>187613</xdr:colOff>
      <xdr:row>26</xdr:row>
      <xdr:rowOff>79375</xdr:rowOff>
    </xdr:from>
    <xdr:to>
      <xdr:col>22</xdr:col>
      <xdr:colOff>461817</xdr:colOff>
      <xdr:row>38</xdr:row>
      <xdr:rowOff>47624</xdr:rowOff>
    </xdr:to>
    <xdr:sp macro="" textlink="">
      <xdr:nvSpPr>
        <xdr:cNvPr id="14" name="Rectangle: Rounded Corners 13">
          <a:extLst>
            <a:ext uri="{FF2B5EF4-FFF2-40B4-BE49-F238E27FC236}">
              <a16:creationId xmlns:a16="http://schemas.microsoft.com/office/drawing/2014/main" id="{747DD0F8-2CAA-41EA-960A-790668BEFFEE}"/>
            </a:ext>
          </a:extLst>
        </xdr:cNvPr>
        <xdr:cNvSpPr/>
      </xdr:nvSpPr>
      <xdr:spPr>
        <a:xfrm>
          <a:off x="9236363" y="5032375"/>
          <a:ext cx="4496954" cy="2254249"/>
        </a:xfrm>
        <a:prstGeom prst="roundRect">
          <a:avLst>
            <a:gd name="adj" fmla="val 4519"/>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15</xdr:col>
      <xdr:colOff>216478</xdr:colOff>
      <xdr:row>15</xdr:row>
      <xdr:rowOff>57725</xdr:rowOff>
    </xdr:from>
    <xdr:to>
      <xdr:col>22</xdr:col>
      <xdr:colOff>442768</xdr:colOff>
      <xdr:row>25</xdr:row>
      <xdr:rowOff>174624</xdr:rowOff>
    </xdr:to>
    <xdr:sp macro="" textlink="">
      <xdr:nvSpPr>
        <xdr:cNvPr id="15" name="Rectangle: Rounded Corners 14">
          <a:extLst>
            <a:ext uri="{FF2B5EF4-FFF2-40B4-BE49-F238E27FC236}">
              <a16:creationId xmlns:a16="http://schemas.microsoft.com/office/drawing/2014/main" id="{3E7F80D8-6AF2-488E-9C6C-7AE9996A5C23}"/>
            </a:ext>
          </a:extLst>
        </xdr:cNvPr>
        <xdr:cNvSpPr/>
      </xdr:nvSpPr>
      <xdr:spPr>
        <a:xfrm>
          <a:off x="9265228" y="2915225"/>
          <a:ext cx="4449040" cy="2021899"/>
        </a:xfrm>
        <a:prstGeom prst="roundRect">
          <a:avLst>
            <a:gd name="adj" fmla="val 4519"/>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9</xdr:col>
      <xdr:colOff>72159</xdr:colOff>
      <xdr:row>23</xdr:row>
      <xdr:rowOff>129886</xdr:rowOff>
    </xdr:from>
    <xdr:to>
      <xdr:col>15</xdr:col>
      <xdr:colOff>104486</xdr:colOff>
      <xdr:row>38</xdr:row>
      <xdr:rowOff>47625</xdr:rowOff>
    </xdr:to>
    <xdr:sp macro="" textlink="">
      <xdr:nvSpPr>
        <xdr:cNvPr id="16" name="Rectangle: Rounded Corners 15">
          <a:extLst>
            <a:ext uri="{FF2B5EF4-FFF2-40B4-BE49-F238E27FC236}">
              <a16:creationId xmlns:a16="http://schemas.microsoft.com/office/drawing/2014/main" id="{E6E987BB-AA0B-46F7-824B-68D50E2DA44B}"/>
            </a:ext>
          </a:extLst>
        </xdr:cNvPr>
        <xdr:cNvSpPr/>
      </xdr:nvSpPr>
      <xdr:spPr>
        <a:xfrm>
          <a:off x="5501409" y="4511386"/>
          <a:ext cx="3651827" cy="2775239"/>
        </a:xfrm>
        <a:prstGeom prst="roundRect">
          <a:avLst>
            <a:gd name="adj" fmla="val 4519"/>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9</xdr:col>
      <xdr:colOff>72159</xdr:colOff>
      <xdr:row>10</xdr:row>
      <xdr:rowOff>72159</xdr:rowOff>
    </xdr:from>
    <xdr:to>
      <xdr:col>15</xdr:col>
      <xdr:colOff>83705</xdr:colOff>
      <xdr:row>23</xdr:row>
      <xdr:rowOff>57727</xdr:rowOff>
    </xdr:to>
    <xdr:sp macro="" textlink="">
      <xdr:nvSpPr>
        <xdr:cNvPr id="17" name="Rectangle: Rounded Corners 16">
          <a:extLst>
            <a:ext uri="{FF2B5EF4-FFF2-40B4-BE49-F238E27FC236}">
              <a16:creationId xmlns:a16="http://schemas.microsoft.com/office/drawing/2014/main" id="{E68798B6-E18B-44BD-812F-AB0B1E11F33A}"/>
            </a:ext>
          </a:extLst>
        </xdr:cNvPr>
        <xdr:cNvSpPr/>
      </xdr:nvSpPr>
      <xdr:spPr>
        <a:xfrm>
          <a:off x="5527386" y="1948295"/>
          <a:ext cx="3648364" cy="2424546"/>
        </a:xfrm>
        <a:prstGeom prst="roundRect">
          <a:avLst>
            <a:gd name="adj" fmla="val 3757"/>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2</xdr:col>
      <xdr:colOff>14432</xdr:colOff>
      <xdr:row>1</xdr:row>
      <xdr:rowOff>43294</xdr:rowOff>
    </xdr:from>
    <xdr:to>
      <xdr:col>10</xdr:col>
      <xdr:colOff>303068</xdr:colOff>
      <xdr:row>3</xdr:row>
      <xdr:rowOff>144317</xdr:rowOff>
    </xdr:to>
    <xdr:sp macro="" textlink="">
      <xdr:nvSpPr>
        <xdr:cNvPr id="10" name="TextBox 9">
          <a:extLst>
            <a:ext uri="{FF2B5EF4-FFF2-40B4-BE49-F238E27FC236}">
              <a16:creationId xmlns:a16="http://schemas.microsoft.com/office/drawing/2014/main" id="{6A999DA7-190F-CB22-F7EF-97C5968C5C05}"/>
            </a:ext>
          </a:extLst>
        </xdr:cNvPr>
        <xdr:cNvSpPr txBox="1"/>
      </xdr:nvSpPr>
      <xdr:spPr>
        <a:xfrm>
          <a:off x="1226705" y="230908"/>
          <a:ext cx="513772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b="1">
              <a:solidFill>
                <a:srgbClr val="FF7900"/>
              </a:solidFill>
            </a:rPr>
            <a:t>Amazon India</a:t>
          </a:r>
          <a:r>
            <a:rPr lang="en-CA" sz="2400" b="1" baseline="0">
              <a:solidFill>
                <a:srgbClr val="FF7900"/>
              </a:solidFill>
            </a:rPr>
            <a:t> Market Insights</a:t>
          </a:r>
          <a:endParaRPr lang="en-CA" sz="2400" b="1">
            <a:solidFill>
              <a:srgbClr val="FF7900"/>
            </a:solidFill>
          </a:endParaRPr>
        </a:p>
      </xdr:txBody>
    </xdr:sp>
    <xdr:clientData/>
  </xdr:twoCellAnchor>
  <xdr:twoCellAnchor>
    <xdr:from>
      <xdr:col>2</xdr:col>
      <xdr:colOff>455470</xdr:colOff>
      <xdr:row>3</xdr:row>
      <xdr:rowOff>22512</xdr:rowOff>
    </xdr:from>
    <xdr:to>
      <xdr:col>7</xdr:col>
      <xdr:colOff>346364</xdr:colOff>
      <xdr:row>5</xdr:row>
      <xdr:rowOff>123535</xdr:rowOff>
    </xdr:to>
    <xdr:sp macro="" textlink="">
      <xdr:nvSpPr>
        <xdr:cNvPr id="11" name="TextBox 10">
          <a:extLst>
            <a:ext uri="{FF2B5EF4-FFF2-40B4-BE49-F238E27FC236}">
              <a16:creationId xmlns:a16="http://schemas.microsoft.com/office/drawing/2014/main" id="{5F163177-BE03-434A-9E37-6102870B7DC4}"/>
            </a:ext>
          </a:extLst>
        </xdr:cNvPr>
        <xdr:cNvSpPr txBox="1"/>
      </xdr:nvSpPr>
      <xdr:spPr>
        <a:xfrm>
          <a:off x="1667743" y="585353"/>
          <a:ext cx="292157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0">
              <a:solidFill>
                <a:schemeClr val="bg1"/>
              </a:solidFill>
            </a:rPr>
            <a:t>categories</a:t>
          </a:r>
          <a:r>
            <a:rPr lang="en-CA" sz="1800" b="0" baseline="0">
              <a:solidFill>
                <a:schemeClr val="bg1"/>
              </a:solidFill>
            </a:rPr>
            <a:t> - pricing - ratings</a:t>
          </a:r>
          <a:endParaRPr lang="en-CA" sz="1800" b="0">
            <a:solidFill>
              <a:schemeClr val="bg1"/>
            </a:solidFill>
          </a:endParaRPr>
        </a:p>
      </xdr:txBody>
    </xdr:sp>
    <xdr:clientData/>
  </xdr:twoCellAnchor>
  <xdr:twoCellAnchor>
    <xdr:from>
      <xdr:col>3</xdr:col>
      <xdr:colOff>88324</xdr:colOff>
      <xdr:row>5</xdr:row>
      <xdr:rowOff>117185</xdr:rowOff>
    </xdr:from>
    <xdr:to>
      <xdr:col>5</xdr:col>
      <xdr:colOff>562840</xdr:colOff>
      <xdr:row>8</xdr:row>
      <xdr:rowOff>30594</xdr:rowOff>
    </xdr:to>
    <xdr:sp macro="" textlink="">
      <xdr:nvSpPr>
        <xdr:cNvPr id="18" name="TextBox 17">
          <a:extLst>
            <a:ext uri="{FF2B5EF4-FFF2-40B4-BE49-F238E27FC236}">
              <a16:creationId xmlns:a16="http://schemas.microsoft.com/office/drawing/2014/main" id="{3FDFC708-2229-4B85-884D-0F0A8AF5D863}"/>
            </a:ext>
          </a:extLst>
        </xdr:cNvPr>
        <xdr:cNvSpPr txBox="1"/>
      </xdr:nvSpPr>
      <xdr:spPr>
        <a:xfrm>
          <a:off x="1906733" y="1055253"/>
          <a:ext cx="168678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solidFill>
                <a:schemeClr val="bg1"/>
              </a:solidFill>
            </a:rPr>
            <a:t>Total Products</a:t>
          </a:r>
        </a:p>
      </xdr:txBody>
    </xdr:sp>
    <xdr:clientData/>
  </xdr:twoCellAnchor>
  <xdr:twoCellAnchor>
    <xdr:from>
      <xdr:col>6</xdr:col>
      <xdr:colOff>572657</xdr:colOff>
      <xdr:row>5</xdr:row>
      <xdr:rowOff>96404</xdr:rowOff>
    </xdr:from>
    <xdr:to>
      <xdr:col>10</xdr:col>
      <xdr:colOff>115454</xdr:colOff>
      <xdr:row>8</xdr:row>
      <xdr:rowOff>9813</xdr:rowOff>
    </xdr:to>
    <xdr:sp macro="" textlink="">
      <xdr:nvSpPr>
        <xdr:cNvPr id="19" name="TextBox 18">
          <a:extLst>
            <a:ext uri="{FF2B5EF4-FFF2-40B4-BE49-F238E27FC236}">
              <a16:creationId xmlns:a16="http://schemas.microsoft.com/office/drawing/2014/main" id="{9DBC8FB8-9670-467E-8C81-808A5B77B927}"/>
            </a:ext>
          </a:extLst>
        </xdr:cNvPr>
        <xdr:cNvSpPr txBox="1"/>
      </xdr:nvSpPr>
      <xdr:spPr>
        <a:xfrm>
          <a:off x="4209475" y="1034472"/>
          <a:ext cx="196734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baseline="0">
              <a:solidFill>
                <a:schemeClr val="bg1"/>
              </a:solidFill>
            </a:rPr>
            <a:t>Avg of discount %</a:t>
          </a:r>
          <a:endParaRPr lang="en-CA" sz="1800" b="1">
            <a:solidFill>
              <a:schemeClr val="bg1"/>
            </a:solidFill>
          </a:endParaRPr>
        </a:p>
      </xdr:txBody>
    </xdr:sp>
    <xdr:clientData/>
  </xdr:twoCellAnchor>
  <xdr:twoCellAnchor>
    <xdr:from>
      <xdr:col>10</xdr:col>
      <xdr:colOff>523011</xdr:colOff>
      <xdr:row>5</xdr:row>
      <xdr:rowOff>104486</xdr:rowOff>
    </xdr:from>
    <xdr:to>
      <xdr:col>13</xdr:col>
      <xdr:colOff>202045</xdr:colOff>
      <xdr:row>8</xdr:row>
      <xdr:rowOff>17895</xdr:rowOff>
    </xdr:to>
    <xdr:sp macro="" textlink="">
      <xdr:nvSpPr>
        <xdr:cNvPr id="20" name="TextBox 19">
          <a:extLst>
            <a:ext uri="{FF2B5EF4-FFF2-40B4-BE49-F238E27FC236}">
              <a16:creationId xmlns:a16="http://schemas.microsoft.com/office/drawing/2014/main" id="{37362D66-E09A-4E87-A101-2BFDE3A43377}"/>
            </a:ext>
          </a:extLst>
        </xdr:cNvPr>
        <xdr:cNvSpPr txBox="1"/>
      </xdr:nvSpPr>
      <xdr:spPr>
        <a:xfrm>
          <a:off x="6584375" y="1042554"/>
          <a:ext cx="149744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solidFill>
                <a:schemeClr val="bg1"/>
              </a:solidFill>
            </a:rPr>
            <a:t>Avg</a:t>
          </a:r>
          <a:r>
            <a:rPr lang="en-CA" sz="1800" b="1" baseline="0">
              <a:solidFill>
                <a:schemeClr val="bg1"/>
              </a:solidFill>
            </a:rPr>
            <a:t> of rating</a:t>
          </a:r>
          <a:endParaRPr lang="en-CA" sz="1800" b="1">
            <a:solidFill>
              <a:schemeClr val="bg1"/>
            </a:solidFill>
          </a:endParaRPr>
        </a:p>
      </xdr:txBody>
    </xdr:sp>
    <xdr:clientData/>
  </xdr:twoCellAnchor>
  <xdr:twoCellAnchor>
    <xdr:from>
      <xdr:col>3</xdr:col>
      <xdr:colOff>327315</xdr:colOff>
      <xdr:row>7</xdr:row>
      <xdr:rowOff>24245</xdr:rowOff>
    </xdr:from>
    <xdr:to>
      <xdr:col>5</xdr:col>
      <xdr:colOff>202045</xdr:colOff>
      <xdr:row>9</xdr:row>
      <xdr:rowOff>125267</xdr:rowOff>
    </xdr:to>
    <xdr:sp macro="" textlink="kpis!B3">
      <xdr:nvSpPr>
        <xdr:cNvPr id="24" name="TextBox 23">
          <a:extLst>
            <a:ext uri="{FF2B5EF4-FFF2-40B4-BE49-F238E27FC236}">
              <a16:creationId xmlns:a16="http://schemas.microsoft.com/office/drawing/2014/main" id="{D70BA283-6861-4E8B-9074-BD46A4A09C67}"/>
            </a:ext>
          </a:extLst>
        </xdr:cNvPr>
        <xdr:cNvSpPr txBox="1"/>
      </xdr:nvSpPr>
      <xdr:spPr>
        <a:xfrm>
          <a:off x="2145724" y="1337540"/>
          <a:ext cx="108700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EB5CF2-4462-4191-9E5A-A92834678503}" type="TxLink">
            <a:rPr lang="en-US" sz="2400" b="1" i="0" u="none" strike="noStrike">
              <a:solidFill>
                <a:srgbClr val="FF7900"/>
              </a:solidFill>
              <a:latin typeface="Calibri"/>
              <a:cs typeface="Calibri"/>
            </a:rPr>
            <a:pPr/>
            <a:t>1151</a:t>
          </a:fld>
          <a:endParaRPr lang="en-CA" sz="2000" b="1">
            <a:solidFill>
              <a:schemeClr val="bg1"/>
            </a:solidFill>
          </a:endParaRPr>
        </a:p>
      </xdr:txBody>
    </xdr:sp>
    <xdr:clientData/>
  </xdr:twoCellAnchor>
  <xdr:twoCellAnchor>
    <xdr:from>
      <xdr:col>7</xdr:col>
      <xdr:colOff>133351</xdr:colOff>
      <xdr:row>7</xdr:row>
      <xdr:rowOff>3463</xdr:rowOff>
    </xdr:from>
    <xdr:to>
      <xdr:col>9</xdr:col>
      <xdr:colOff>8082</xdr:colOff>
      <xdr:row>9</xdr:row>
      <xdr:rowOff>104485</xdr:rowOff>
    </xdr:to>
    <xdr:sp macro="" textlink="kpis!D5">
      <xdr:nvSpPr>
        <xdr:cNvPr id="25" name="TextBox 24">
          <a:extLst>
            <a:ext uri="{FF2B5EF4-FFF2-40B4-BE49-F238E27FC236}">
              <a16:creationId xmlns:a16="http://schemas.microsoft.com/office/drawing/2014/main" id="{6C19F122-E8E0-42C3-B0A3-C6545529A957}"/>
            </a:ext>
          </a:extLst>
        </xdr:cNvPr>
        <xdr:cNvSpPr txBox="1"/>
      </xdr:nvSpPr>
      <xdr:spPr>
        <a:xfrm>
          <a:off x="4376306" y="1316758"/>
          <a:ext cx="108700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8FCD5-1284-46E9-8318-55567A27E771}" type="TxLink">
            <a:rPr lang="en-US" sz="2400" b="1" i="0" u="none" strike="noStrike">
              <a:solidFill>
                <a:srgbClr val="FF7900"/>
              </a:solidFill>
              <a:latin typeface="Calibri"/>
              <a:cs typeface="Calibri"/>
            </a:rPr>
            <a:pPr/>
            <a:t>45.6</a:t>
          </a:fld>
          <a:endParaRPr lang="en-US" sz="2400" b="1" i="0" u="none" strike="noStrike">
            <a:solidFill>
              <a:srgbClr val="FF7900"/>
            </a:solidFill>
            <a:latin typeface="Calibri"/>
            <a:cs typeface="Calibri"/>
          </a:endParaRPr>
        </a:p>
      </xdr:txBody>
    </xdr:sp>
    <xdr:clientData/>
  </xdr:twoCellAnchor>
  <xdr:twoCellAnchor>
    <xdr:from>
      <xdr:col>11</xdr:col>
      <xdr:colOff>25978</xdr:colOff>
      <xdr:row>7</xdr:row>
      <xdr:rowOff>11545</xdr:rowOff>
    </xdr:from>
    <xdr:to>
      <xdr:col>12</xdr:col>
      <xdr:colOff>506845</xdr:colOff>
      <xdr:row>9</xdr:row>
      <xdr:rowOff>112567</xdr:rowOff>
    </xdr:to>
    <xdr:sp macro="" textlink="kpis!F5">
      <xdr:nvSpPr>
        <xdr:cNvPr id="26" name="TextBox 25">
          <a:extLst>
            <a:ext uri="{FF2B5EF4-FFF2-40B4-BE49-F238E27FC236}">
              <a16:creationId xmlns:a16="http://schemas.microsoft.com/office/drawing/2014/main" id="{15334933-5155-4B76-B361-1BF05365A6BD}"/>
            </a:ext>
          </a:extLst>
        </xdr:cNvPr>
        <xdr:cNvSpPr txBox="1"/>
      </xdr:nvSpPr>
      <xdr:spPr>
        <a:xfrm>
          <a:off x="6693478" y="1324840"/>
          <a:ext cx="108700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8E666A-CACB-42E7-93A4-8E563BC4E436}" type="TxLink">
            <a:rPr lang="en-US" sz="2400" b="1" i="0" u="none" strike="noStrike">
              <a:solidFill>
                <a:srgbClr val="FF7900"/>
              </a:solidFill>
              <a:latin typeface="Calibri"/>
              <a:cs typeface="Calibri"/>
            </a:rPr>
            <a:pPr/>
            <a:t>4.08</a:t>
          </a:fld>
          <a:endParaRPr lang="en-CA" sz="2400" b="1" i="0" u="none" strike="noStrike">
            <a:solidFill>
              <a:schemeClr val="bg1"/>
            </a:solidFill>
            <a:latin typeface="Calibri"/>
            <a:cs typeface="Calibri"/>
          </a:endParaRPr>
        </a:p>
      </xdr:txBody>
    </xdr:sp>
    <xdr:clientData/>
  </xdr:twoCellAnchor>
  <xdr:twoCellAnchor>
    <xdr:from>
      <xdr:col>18</xdr:col>
      <xdr:colOff>519544</xdr:colOff>
      <xdr:row>4</xdr:row>
      <xdr:rowOff>86590</xdr:rowOff>
    </xdr:from>
    <xdr:to>
      <xdr:col>22</xdr:col>
      <xdr:colOff>216476</xdr:colOff>
      <xdr:row>6</xdr:row>
      <xdr:rowOff>144318</xdr:rowOff>
    </xdr:to>
    <xdr:sp macro="" textlink="">
      <xdr:nvSpPr>
        <xdr:cNvPr id="33" name="Trapezoid 32">
          <a:extLst>
            <a:ext uri="{FF2B5EF4-FFF2-40B4-BE49-F238E27FC236}">
              <a16:creationId xmlns:a16="http://schemas.microsoft.com/office/drawing/2014/main" id="{ED132703-3E55-FCD7-52D0-D20C92A327D1}"/>
            </a:ext>
          </a:extLst>
        </xdr:cNvPr>
        <xdr:cNvSpPr/>
      </xdr:nvSpPr>
      <xdr:spPr>
        <a:xfrm>
          <a:off x="11429999" y="837045"/>
          <a:ext cx="2121477" cy="432955"/>
        </a:xfrm>
        <a:prstGeom prst="trapezoid">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15</xdr:col>
      <xdr:colOff>109104</xdr:colOff>
      <xdr:row>4</xdr:row>
      <xdr:rowOff>94672</xdr:rowOff>
    </xdr:from>
    <xdr:to>
      <xdr:col>18</xdr:col>
      <xdr:colOff>412171</xdr:colOff>
      <xdr:row>6</xdr:row>
      <xdr:rowOff>152400</xdr:rowOff>
    </xdr:to>
    <xdr:sp macro="" textlink="">
      <xdr:nvSpPr>
        <xdr:cNvPr id="35" name="Trapezoid 34">
          <a:extLst>
            <a:ext uri="{FF2B5EF4-FFF2-40B4-BE49-F238E27FC236}">
              <a16:creationId xmlns:a16="http://schemas.microsoft.com/office/drawing/2014/main" id="{23043F60-91E8-44C6-9920-E25232F89F47}"/>
            </a:ext>
          </a:extLst>
        </xdr:cNvPr>
        <xdr:cNvSpPr/>
      </xdr:nvSpPr>
      <xdr:spPr>
        <a:xfrm>
          <a:off x="9201149" y="845127"/>
          <a:ext cx="2121477" cy="432955"/>
        </a:xfrm>
        <a:prstGeom prst="trapezoid">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19</xdr:col>
      <xdr:colOff>202044</xdr:colOff>
      <xdr:row>4</xdr:row>
      <xdr:rowOff>101025</xdr:rowOff>
    </xdr:from>
    <xdr:to>
      <xdr:col>21</xdr:col>
      <xdr:colOff>513194</xdr:colOff>
      <xdr:row>14</xdr:row>
      <xdr:rowOff>152398</xdr:rowOff>
    </xdr:to>
    <xdr:sp macro="" textlink="">
      <xdr:nvSpPr>
        <xdr:cNvPr id="32" name="Arrow: Pentagon 31">
          <a:extLst>
            <a:ext uri="{FF2B5EF4-FFF2-40B4-BE49-F238E27FC236}">
              <a16:creationId xmlns:a16="http://schemas.microsoft.com/office/drawing/2014/main" id="{579FF107-8DE6-4010-AE4A-3B5210B473CF}"/>
            </a:ext>
          </a:extLst>
        </xdr:cNvPr>
        <xdr:cNvSpPr/>
      </xdr:nvSpPr>
      <xdr:spPr>
        <a:xfrm rot="5400000">
          <a:off x="11516592" y="1053523"/>
          <a:ext cx="1927509" cy="1523423"/>
        </a:xfrm>
        <a:prstGeom prst="homePlate">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solidFill>
            <a:schemeClr val="bg2">
              <a:lumMod val="50000"/>
            </a:schemeClr>
          </a:solidFill>
          <a:prstDash val="lgDash"/>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15</xdr:col>
      <xdr:colOff>397740</xdr:colOff>
      <xdr:row>4</xdr:row>
      <xdr:rowOff>109107</xdr:rowOff>
    </xdr:from>
    <xdr:to>
      <xdr:col>18</xdr:col>
      <xdr:colOff>102753</xdr:colOff>
      <xdr:row>14</xdr:row>
      <xdr:rowOff>160480</xdr:rowOff>
    </xdr:to>
    <xdr:sp macro="" textlink="">
      <xdr:nvSpPr>
        <xdr:cNvPr id="34" name="Arrow: Pentagon 33">
          <a:extLst>
            <a:ext uri="{FF2B5EF4-FFF2-40B4-BE49-F238E27FC236}">
              <a16:creationId xmlns:a16="http://schemas.microsoft.com/office/drawing/2014/main" id="{050D89BE-702C-4598-8969-755492E24E0D}"/>
            </a:ext>
          </a:extLst>
        </xdr:cNvPr>
        <xdr:cNvSpPr/>
      </xdr:nvSpPr>
      <xdr:spPr>
        <a:xfrm rot="5400000">
          <a:off x="9287742" y="1061605"/>
          <a:ext cx="1927509" cy="1523423"/>
        </a:xfrm>
        <a:prstGeom prst="homePlate">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solidFill>
            <a:schemeClr val="bg2">
              <a:lumMod val="50000"/>
            </a:schemeClr>
          </a:solidFill>
          <a:prstDash val="lgDash"/>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15</xdr:col>
      <xdr:colOff>163949</xdr:colOff>
      <xdr:row>4</xdr:row>
      <xdr:rowOff>135076</xdr:rowOff>
    </xdr:from>
    <xdr:to>
      <xdr:col>18</xdr:col>
      <xdr:colOff>375229</xdr:colOff>
      <xdr:row>8</xdr:row>
      <xdr:rowOff>144318</xdr:rowOff>
    </xdr:to>
    <xdr:sp macro="" textlink="">
      <xdr:nvSpPr>
        <xdr:cNvPr id="22" name="TextBox 21">
          <a:extLst>
            <a:ext uri="{FF2B5EF4-FFF2-40B4-BE49-F238E27FC236}">
              <a16:creationId xmlns:a16="http://schemas.microsoft.com/office/drawing/2014/main" id="{20636155-F760-4E58-A114-FAF2F65DE51F}"/>
            </a:ext>
          </a:extLst>
        </xdr:cNvPr>
        <xdr:cNvSpPr txBox="1"/>
      </xdr:nvSpPr>
      <xdr:spPr>
        <a:xfrm>
          <a:off x="9255994" y="885531"/>
          <a:ext cx="2029690" cy="759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700" b="1">
              <a:solidFill>
                <a:schemeClr val="bg1"/>
              </a:solidFill>
            </a:rPr>
            <a:t>Most</a:t>
          </a:r>
          <a:r>
            <a:rPr lang="en-CA" sz="1700" b="1" baseline="0">
              <a:solidFill>
                <a:schemeClr val="bg1"/>
              </a:solidFill>
            </a:rPr>
            <a:t> </a:t>
          </a:r>
          <a:r>
            <a:rPr lang="en-CA" sz="1700" b="1">
              <a:solidFill>
                <a:schemeClr val="bg1"/>
              </a:solidFill>
            </a:rPr>
            <a:t>reviewed product</a:t>
          </a:r>
        </a:p>
      </xdr:txBody>
    </xdr:sp>
    <xdr:clientData/>
  </xdr:twoCellAnchor>
  <xdr:twoCellAnchor>
    <xdr:from>
      <xdr:col>15</xdr:col>
      <xdr:colOff>389660</xdr:colOff>
      <xdr:row>7</xdr:row>
      <xdr:rowOff>170292</xdr:rowOff>
    </xdr:from>
    <xdr:to>
      <xdr:col>18</xdr:col>
      <xdr:colOff>144318</xdr:colOff>
      <xdr:row>13</xdr:row>
      <xdr:rowOff>14429</xdr:rowOff>
    </xdr:to>
    <xdr:sp macro="" textlink="kpis!H7">
      <xdr:nvSpPr>
        <xdr:cNvPr id="21" name="TextBox 20">
          <a:extLst>
            <a:ext uri="{FF2B5EF4-FFF2-40B4-BE49-F238E27FC236}">
              <a16:creationId xmlns:a16="http://schemas.microsoft.com/office/drawing/2014/main" id="{79EA6FF8-1016-4D5E-A23E-DDBB95450793}"/>
            </a:ext>
          </a:extLst>
        </xdr:cNvPr>
        <xdr:cNvSpPr txBox="1"/>
      </xdr:nvSpPr>
      <xdr:spPr>
        <a:xfrm>
          <a:off x="9481705" y="1483587"/>
          <a:ext cx="1573068" cy="969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E02E2D-9829-4017-9022-6607E5B47A0E}" type="TxLink">
            <a:rPr lang="en-US" sz="1400" b="1" i="0" u="none" strike="noStrike">
              <a:solidFill>
                <a:srgbClr val="FF7900"/>
              </a:solidFill>
              <a:latin typeface="Calibri"/>
              <a:cs typeface="Calibri"/>
            </a:rPr>
            <a:t>Amazon Basics High-Speed HDMI Cable,</a:t>
          </a:fld>
          <a:endParaRPr lang="en-CA" sz="2400" b="1">
            <a:solidFill>
              <a:srgbClr val="FF7900"/>
            </a:solidFill>
          </a:endParaRPr>
        </a:p>
      </xdr:txBody>
    </xdr:sp>
    <xdr:clientData/>
  </xdr:twoCellAnchor>
  <xdr:twoCellAnchor editAs="oneCell">
    <xdr:from>
      <xdr:col>16</xdr:col>
      <xdr:colOff>317500</xdr:colOff>
      <xdr:row>11</xdr:row>
      <xdr:rowOff>141429</xdr:rowOff>
    </xdr:from>
    <xdr:to>
      <xdr:col>17</xdr:col>
      <xdr:colOff>238568</xdr:colOff>
      <xdr:row>14</xdr:row>
      <xdr:rowOff>10308</xdr:rowOff>
    </xdr:to>
    <xdr:pic>
      <xdr:nvPicPr>
        <xdr:cNvPr id="36" name="Picture 35">
          <a:extLst>
            <a:ext uri="{FF2B5EF4-FFF2-40B4-BE49-F238E27FC236}">
              <a16:creationId xmlns:a16="http://schemas.microsoft.com/office/drawing/2014/main" id="{CE87DFAD-BA5F-41F1-92BA-09B31BBDD738}"/>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flipH="1">
          <a:off x="10015682" y="2205179"/>
          <a:ext cx="527204" cy="431720"/>
        </a:xfrm>
        <a:prstGeom prst="rect">
          <a:avLst/>
        </a:prstGeom>
      </xdr:spPr>
    </xdr:pic>
    <xdr:clientData/>
  </xdr:twoCellAnchor>
  <xdr:twoCellAnchor>
    <xdr:from>
      <xdr:col>18</xdr:col>
      <xdr:colOff>518394</xdr:colOff>
      <xdr:row>4</xdr:row>
      <xdr:rowOff>172022</xdr:rowOff>
    </xdr:from>
    <xdr:to>
      <xdr:col>22</xdr:col>
      <xdr:colOff>123539</xdr:colOff>
      <xdr:row>8</xdr:row>
      <xdr:rowOff>181264</xdr:rowOff>
    </xdr:to>
    <xdr:sp macro="" textlink="">
      <xdr:nvSpPr>
        <xdr:cNvPr id="37" name="TextBox 36">
          <a:extLst>
            <a:ext uri="{FF2B5EF4-FFF2-40B4-BE49-F238E27FC236}">
              <a16:creationId xmlns:a16="http://schemas.microsoft.com/office/drawing/2014/main" id="{D10010CE-3F5E-49CC-B092-A0F84A179A34}"/>
            </a:ext>
          </a:extLst>
        </xdr:cNvPr>
        <xdr:cNvSpPr txBox="1"/>
      </xdr:nvSpPr>
      <xdr:spPr>
        <a:xfrm>
          <a:off x="11428849" y="922477"/>
          <a:ext cx="2029690" cy="759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700" b="1">
              <a:solidFill>
                <a:schemeClr val="bg1"/>
              </a:solidFill>
            </a:rPr>
            <a:t>Top category </a:t>
          </a:r>
        </a:p>
        <a:p>
          <a:pPr algn="ctr"/>
          <a:r>
            <a:rPr lang="en-CA" sz="1400" b="0">
              <a:solidFill>
                <a:schemeClr val="bg1"/>
              </a:solidFill>
            </a:rPr>
            <a:t>by</a:t>
          </a:r>
          <a:r>
            <a:rPr lang="en-CA" sz="1400" b="0" baseline="0">
              <a:solidFill>
                <a:schemeClr val="bg1"/>
              </a:solidFill>
            </a:rPr>
            <a:t> products</a:t>
          </a:r>
          <a:endParaRPr lang="en-CA" sz="1400" b="0">
            <a:solidFill>
              <a:schemeClr val="bg1"/>
            </a:solidFill>
          </a:endParaRPr>
        </a:p>
      </xdr:txBody>
    </xdr:sp>
    <xdr:clientData/>
  </xdr:twoCellAnchor>
  <xdr:twoCellAnchor>
    <xdr:from>
      <xdr:col>19</xdr:col>
      <xdr:colOff>224559</xdr:colOff>
      <xdr:row>8</xdr:row>
      <xdr:rowOff>5192</xdr:rowOff>
    </xdr:from>
    <xdr:to>
      <xdr:col>21</xdr:col>
      <xdr:colOff>585354</xdr:colOff>
      <xdr:row>9</xdr:row>
      <xdr:rowOff>173182</xdr:rowOff>
    </xdr:to>
    <xdr:sp macro="" textlink="kpis!K4">
      <xdr:nvSpPr>
        <xdr:cNvPr id="38" name="TextBox 37">
          <a:extLst>
            <a:ext uri="{FF2B5EF4-FFF2-40B4-BE49-F238E27FC236}">
              <a16:creationId xmlns:a16="http://schemas.microsoft.com/office/drawing/2014/main" id="{857ED358-97C2-4391-84F3-D216F7CD4B62}"/>
            </a:ext>
          </a:extLst>
        </xdr:cNvPr>
        <xdr:cNvSpPr txBox="1"/>
      </xdr:nvSpPr>
      <xdr:spPr>
        <a:xfrm>
          <a:off x="11741150" y="1506101"/>
          <a:ext cx="1573068" cy="355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6E7D5B-DEE8-4028-AE32-746439A73CBC}" type="TxLink">
            <a:rPr lang="en-US" sz="1400" b="1" i="0" u="none" strike="noStrike">
              <a:solidFill>
                <a:srgbClr val="FF7900"/>
              </a:solidFill>
              <a:latin typeface="Calibri"/>
              <a:cs typeface="Calibri"/>
            </a:rPr>
            <a:pPr algn="ctr"/>
            <a:t>Home&amp;Kitchen</a:t>
          </a:fld>
          <a:endParaRPr lang="en-CA" sz="3200" b="1">
            <a:solidFill>
              <a:srgbClr val="FF7900"/>
            </a:solidFill>
          </a:endParaRPr>
        </a:p>
      </xdr:txBody>
    </xdr:sp>
    <xdr:clientData/>
  </xdr:twoCellAnchor>
  <xdr:twoCellAnchor editAs="oneCell">
    <xdr:from>
      <xdr:col>20</xdr:col>
      <xdr:colOff>101023</xdr:colOff>
      <xdr:row>11</xdr:row>
      <xdr:rowOff>158750</xdr:rowOff>
    </xdr:from>
    <xdr:to>
      <xdr:col>21</xdr:col>
      <xdr:colOff>41528</xdr:colOff>
      <xdr:row>14</xdr:row>
      <xdr:rowOff>57311</xdr:rowOff>
    </xdr:to>
    <xdr:pic>
      <xdr:nvPicPr>
        <xdr:cNvPr id="39" name="Picture 38">
          <a:extLst>
            <a:ext uri="{FF2B5EF4-FFF2-40B4-BE49-F238E27FC236}">
              <a16:creationId xmlns:a16="http://schemas.microsoft.com/office/drawing/2014/main" id="{EE5D146C-0405-471D-840B-55E853EDB277}"/>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2223750" y="2222500"/>
          <a:ext cx="546642" cy="461402"/>
        </a:xfrm>
        <a:prstGeom prst="rect">
          <a:avLst/>
        </a:prstGeom>
      </xdr:spPr>
    </xdr:pic>
    <xdr:clientData/>
  </xdr:twoCellAnchor>
  <xdr:twoCellAnchor>
    <xdr:from>
      <xdr:col>20</xdr:col>
      <xdr:colOff>45607</xdr:colOff>
      <xdr:row>9</xdr:row>
      <xdr:rowOff>91786</xdr:rowOff>
    </xdr:from>
    <xdr:to>
      <xdr:col>21</xdr:col>
      <xdr:colOff>184727</xdr:colOff>
      <xdr:row>12</xdr:row>
      <xdr:rowOff>5195</xdr:rowOff>
    </xdr:to>
    <xdr:sp macro="" textlink="kpis!O5">
      <xdr:nvSpPr>
        <xdr:cNvPr id="27" name="TextBox 26">
          <a:extLst>
            <a:ext uri="{FF2B5EF4-FFF2-40B4-BE49-F238E27FC236}">
              <a16:creationId xmlns:a16="http://schemas.microsoft.com/office/drawing/2014/main" id="{12840EC0-4660-4109-94A8-AE333750CB4A}"/>
            </a:ext>
          </a:extLst>
        </xdr:cNvPr>
        <xdr:cNvSpPr txBox="1"/>
      </xdr:nvSpPr>
      <xdr:spPr>
        <a:xfrm>
          <a:off x="12110607" y="1806286"/>
          <a:ext cx="742370"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EEEFFB-5DDD-4614-B0F0-AD73838E3347}" type="TxLink">
            <a:rPr lang="en-US" sz="2400" b="1" i="0" u="none" strike="noStrike">
              <a:solidFill>
                <a:srgbClr val="FF7900"/>
              </a:solidFill>
              <a:latin typeface="Calibri"/>
              <a:cs typeface="Calibri"/>
            </a:rPr>
            <a:pPr/>
            <a:t>436</a:t>
          </a:fld>
          <a:endParaRPr lang="en-US" sz="1200" b="1">
            <a:solidFill>
              <a:srgbClr val="FF9D43"/>
            </a:solidFill>
          </a:endParaRPr>
        </a:p>
      </xdr:txBody>
    </xdr:sp>
    <xdr:clientData/>
  </xdr:twoCellAnchor>
  <xdr:twoCellAnchor editAs="oneCell">
    <xdr:from>
      <xdr:col>5</xdr:col>
      <xdr:colOff>418522</xdr:colOff>
      <xdr:row>5</xdr:row>
      <xdr:rowOff>136112</xdr:rowOff>
    </xdr:from>
    <xdr:to>
      <xdr:col>6</xdr:col>
      <xdr:colOff>375227</xdr:colOff>
      <xdr:row>9</xdr:row>
      <xdr:rowOff>109103</xdr:rowOff>
    </xdr:to>
    <xdr:pic>
      <xdr:nvPicPr>
        <xdr:cNvPr id="41" name="Picture 40">
          <a:extLst>
            <a:ext uri="{FF2B5EF4-FFF2-40B4-BE49-F238E27FC236}">
              <a16:creationId xmlns:a16="http://schemas.microsoft.com/office/drawing/2014/main" id="{EBDD3CC6-9F32-1DF8-1FFB-DC709D2FB7B5}"/>
            </a:ext>
          </a:extLst>
        </xdr:cNvPr>
        <xdr:cNvPicPr>
          <a:picLocks noChangeAspect="1"/>
        </xdr:cNvPicPr>
      </xdr:nvPicPr>
      <xdr:blipFill>
        <a:blip xmlns:r="http://schemas.openxmlformats.org/officeDocument/2006/relationships" r:embed="rId5" cstate="print">
          <a:clrChange>
            <a:clrFrom>
              <a:srgbClr val="FFFFFF"/>
            </a:clrFrom>
            <a:clrTo>
              <a:srgbClr val="FFFFFF">
                <a:alpha val="0"/>
              </a:srgbClr>
            </a:clrTo>
          </a:clrChange>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3449204" y="1074180"/>
          <a:ext cx="562841" cy="723446"/>
        </a:xfrm>
        <a:prstGeom prst="rect">
          <a:avLst/>
        </a:prstGeom>
      </xdr:spPr>
    </xdr:pic>
    <xdr:clientData/>
  </xdr:twoCellAnchor>
  <xdr:twoCellAnchor editAs="oneCell">
    <xdr:from>
      <xdr:col>9</xdr:col>
      <xdr:colOff>346365</xdr:colOff>
      <xdr:row>6</xdr:row>
      <xdr:rowOff>43295</xdr:rowOff>
    </xdr:from>
    <xdr:to>
      <xdr:col>10</xdr:col>
      <xdr:colOff>383308</xdr:colOff>
      <xdr:row>9</xdr:row>
      <xdr:rowOff>123534</xdr:rowOff>
    </xdr:to>
    <xdr:pic>
      <xdr:nvPicPr>
        <xdr:cNvPr id="45" name="Picture 44">
          <a:extLst>
            <a:ext uri="{FF2B5EF4-FFF2-40B4-BE49-F238E27FC236}">
              <a16:creationId xmlns:a16="http://schemas.microsoft.com/office/drawing/2014/main" id="{EB454DDF-16BE-8524-9495-8382149A4442}"/>
            </a:ext>
          </a:extLst>
        </xdr:cNvPr>
        <xdr:cNvPicPr>
          <a:picLocks noChangeAspect="1"/>
        </xdr:cNvPicPr>
      </xdr:nvPicPr>
      <xdr:blipFill>
        <a:blip xmlns:r="http://schemas.openxmlformats.org/officeDocument/2006/relationships" r:embed="rId7" cstate="print">
          <a:clrChange>
            <a:clrFrom>
              <a:srgbClr val="FFFFFF"/>
            </a:clrFrom>
            <a:clrTo>
              <a:srgbClr val="FFFFFF">
                <a:alpha val="0"/>
              </a:srgbClr>
            </a:clrTo>
          </a:clrChange>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5801592" y="1168977"/>
          <a:ext cx="643080" cy="643080"/>
        </a:xfrm>
        <a:prstGeom prst="rect">
          <a:avLst/>
        </a:prstGeom>
      </xdr:spPr>
    </xdr:pic>
    <xdr:clientData/>
  </xdr:twoCellAnchor>
  <xdr:twoCellAnchor editAs="oneCell">
    <xdr:from>
      <xdr:col>13</xdr:col>
      <xdr:colOff>167409</xdr:colOff>
      <xdr:row>5</xdr:row>
      <xdr:rowOff>86592</xdr:rowOff>
    </xdr:from>
    <xdr:to>
      <xdr:col>14</xdr:col>
      <xdr:colOff>391967</xdr:colOff>
      <xdr:row>9</xdr:row>
      <xdr:rowOff>166831</xdr:rowOff>
    </xdr:to>
    <xdr:pic>
      <xdr:nvPicPr>
        <xdr:cNvPr id="47" name="Picture 46">
          <a:extLst>
            <a:ext uri="{FF2B5EF4-FFF2-40B4-BE49-F238E27FC236}">
              <a16:creationId xmlns:a16="http://schemas.microsoft.com/office/drawing/2014/main" id="{132F14ED-DEE0-B20B-3C18-885816E36AA5}"/>
            </a:ext>
          </a:extLst>
        </xdr:cNvPr>
        <xdr:cNvPicPr>
          <a:picLocks noChangeAspect="1"/>
        </xdr:cNvPicPr>
      </xdr:nvPicPr>
      <xdr:blipFill>
        <a:blip xmlns:r="http://schemas.openxmlformats.org/officeDocument/2006/relationships" r:embed="rId9" cstate="print">
          <a:clrChange>
            <a:clrFrom>
              <a:srgbClr val="FFFFFF"/>
            </a:clrFrom>
            <a:clrTo>
              <a:srgbClr val="FFFFFF">
                <a:alpha val="0"/>
              </a:srgbClr>
            </a:clrTo>
          </a:clrChange>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8009659" y="1039092"/>
          <a:ext cx="827808" cy="842239"/>
        </a:xfrm>
        <a:prstGeom prst="rect">
          <a:avLst/>
        </a:prstGeom>
      </xdr:spPr>
    </xdr:pic>
    <xdr:clientData/>
  </xdr:twoCellAnchor>
  <xdr:twoCellAnchor editAs="oneCell">
    <xdr:from>
      <xdr:col>0</xdr:col>
      <xdr:colOff>259771</xdr:colOff>
      <xdr:row>29</xdr:row>
      <xdr:rowOff>101022</xdr:rowOff>
    </xdr:from>
    <xdr:to>
      <xdr:col>2</xdr:col>
      <xdr:colOff>464245</xdr:colOff>
      <xdr:row>37</xdr:row>
      <xdr:rowOff>16859</xdr:rowOff>
    </xdr:to>
    <xdr:pic>
      <xdr:nvPicPr>
        <xdr:cNvPr id="61" name="Picture 60">
          <a:extLst>
            <a:ext uri="{FF2B5EF4-FFF2-40B4-BE49-F238E27FC236}">
              <a16:creationId xmlns:a16="http://schemas.microsoft.com/office/drawing/2014/main" id="{77B06E4D-1A07-16FC-F38F-07DE9516F37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259771" y="5541817"/>
          <a:ext cx="1416747" cy="1416747"/>
        </a:xfrm>
        <a:prstGeom prst="rect">
          <a:avLst/>
        </a:prstGeom>
        <a:effectLst>
          <a:outerShdw blurRad="50800" dist="38100" dir="2700000" algn="tl" rotWithShape="0">
            <a:prstClr val="black">
              <a:alpha val="40000"/>
            </a:prstClr>
          </a:outerShdw>
        </a:effectLst>
      </xdr:spPr>
    </xdr:pic>
    <xdr:clientData/>
  </xdr:twoCellAnchor>
  <xdr:twoCellAnchor>
    <xdr:from>
      <xdr:col>9</xdr:col>
      <xdr:colOff>57727</xdr:colOff>
      <xdr:row>12</xdr:row>
      <xdr:rowOff>43295</xdr:rowOff>
    </xdr:from>
    <xdr:to>
      <xdr:col>15</xdr:col>
      <xdr:colOff>202046</xdr:colOff>
      <xdr:row>23</xdr:row>
      <xdr:rowOff>144318</xdr:rowOff>
    </xdr:to>
    <xdr:graphicFrame macro="">
      <xdr:nvGraphicFramePr>
        <xdr:cNvPr id="63" name="Chart 62">
          <a:extLst>
            <a:ext uri="{FF2B5EF4-FFF2-40B4-BE49-F238E27FC236}">
              <a16:creationId xmlns:a16="http://schemas.microsoft.com/office/drawing/2014/main" id="{AB90EEA3-B8C0-42ED-AA04-0CE8844AC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189348</xdr:colOff>
      <xdr:row>10</xdr:row>
      <xdr:rowOff>146049</xdr:rowOff>
    </xdr:from>
    <xdr:to>
      <xdr:col>14</xdr:col>
      <xdr:colOff>80242</xdr:colOff>
      <xdr:row>13</xdr:row>
      <xdr:rowOff>59458</xdr:rowOff>
    </xdr:to>
    <xdr:sp macro="" textlink="">
      <xdr:nvSpPr>
        <xdr:cNvPr id="64" name="TextBox 63">
          <a:extLst>
            <a:ext uri="{FF2B5EF4-FFF2-40B4-BE49-F238E27FC236}">
              <a16:creationId xmlns:a16="http://schemas.microsoft.com/office/drawing/2014/main" id="{B622F6F3-CB82-4F0F-8A1B-125DA48C8958}"/>
            </a:ext>
          </a:extLst>
        </xdr:cNvPr>
        <xdr:cNvSpPr txBox="1"/>
      </xdr:nvSpPr>
      <xdr:spPr>
        <a:xfrm>
          <a:off x="5644575" y="2022185"/>
          <a:ext cx="292157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0">
              <a:solidFill>
                <a:schemeClr val="bg1"/>
              </a:solidFill>
            </a:rPr>
            <a:t>Avg rating by category</a:t>
          </a:r>
        </a:p>
      </xdr:txBody>
    </xdr:sp>
    <xdr:clientData/>
  </xdr:twoCellAnchor>
  <xdr:twoCellAnchor>
    <xdr:from>
      <xdr:col>15</xdr:col>
      <xdr:colOff>190500</xdr:colOff>
      <xdr:row>28</xdr:row>
      <xdr:rowOff>111125</xdr:rowOff>
    </xdr:from>
    <xdr:to>
      <xdr:col>22</xdr:col>
      <xdr:colOff>269876</xdr:colOff>
      <xdr:row>39</xdr:row>
      <xdr:rowOff>47624</xdr:rowOff>
    </xdr:to>
    <xdr:graphicFrame macro="">
      <xdr:nvGraphicFramePr>
        <xdr:cNvPr id="65" name="Chart 64">
          <a:extLst>
            <a:ext uri="{FF2B5EF4-FFF2-40B4-BE49-F238E27FC236}">
              <a16:creationId xmlns:a16="http://schemas.microsoft.com/office/drawing/2014/main" id="{F7F8C8E5-AA7B-443B-B138-3D1941E27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326450</xdr:colOff>
      <xdr:row>15</xdr:row>
      <xdr:rowOff>117185</xdr:rowOff>
    </xdr:from>
    <xdr:to>
      <xdr:col>20</xdr:col>
      <xdr:colOff>217344</xdr:colOff>
      <xdr:row>18</xdr:row>
      <xdr:rowOff>30594</xdr:rowOff>
    </xdr:to>
    <xdr:sp macro="" textlink="">
      <xdr:nvSpPr>
        <xdr:cNvPr id="66" name="TextBox 65">
          <a:extLst>
            <a:ext uri="{FF2B5EF4-FFF2-40B4-BE49-F238E27FC236}">
              <a16:creationId xmlns:a16="http://schemas.microsoft.com/office/drawing/2014/main" id="{E1AD661E-5E5F-4DC1-8CD3-7178F579C32E}"/>
            </a:ext>
          </a:extLst>
        </xdr:cNvPr>
        <xdr:cNvSpPr txBox="1"/>
      </xdr:nvSpPr>
      <xdr:spPr>
        <a:xfrm>
          <a:off x="9375200" y="2974685"/>
          <a:ext cx="2907144"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0">
              <a:solidFill>
                <a:schemeClr val="bg1"/>
              </a:solidFill>
            </a:rPr>
            <a:t>Price range distribution</a:t>
          </a:r>
        </a:p>
      </xdr:txBody>
    </xdr:sp>
    <xdr:clientData/>
  </xdr:twoCellAnchor>
  <xdr:twoCellAnchor>
    <xdr:from>
      <xdr:col>3</xdr:col>
      <xdr:colOff>113725</xdr:colOff>
      <xdr:row>23</xdr:row>
      <xdr:rowOff>174335</xdr:rowOff>
    </xdr:from>
    <xdr:to>
      <xdr:col>8</xdr:col>
      <xdr:colOff>4619</xdr:colOff>
      <xdr:row>26</xdr:row>
      <xdr:rowOff>87744</xdr:rowOff>
    </xdr:to>
    <xdr:sp macro="" textlink="">
      <xdr:nvSpPr>
        <xdr:cNvPr id="67" name="TextBox 66">
          <a:extLst>
            <a:ext uri="{FF2B5EF4-FFF2-40B4-BE49-F238E27FC236}">
              <a16:creationId xmlns:a16="http://schemas.microsoft.com/office/drawing/2014/main" id="{637D10A8-F3BF-4A5F-8E56-31DF636894C3}"/>
            </a:ext>
          </a:extLst>
        </xdr:cNvPr>
        <xdr:cNvSpPr txBox="1"/>
      </xdr:nvSpPr>
      <xdr:spPr>
        <a:xfrm>
          <a:off x="1923475" y="4555835"/>
          <a:ext cx="2907144"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0">
              <a:solidFill>
                <a:schemeClr val="bg1"/>
              </a:solidFill>
            </a:rPr>
            <a:t>Avg </a:t>
          </a:r>
          <a:r>
            <a:rPr lang="en-CA" sz="1600" b="0" baseline="0">
              <a:solidFill>
                <a:schemeClr val="bg1"/>
              </a:solidFill>
            </a:rPr>
            <a:t> discount by category</a:t>
          </a:r>
          <a:endParaRPr lang="en-CA" sz="1600" b="0">
            <a:solidFill>
              <a:schemeClr val="bg1"/>
            </a:solidFill>
          </a:endParaRPr>
        </a:p>
      </xdr:txBody>
    </xdr:sp>
    <xdr:clientData/>
  </xdr:twoCellAnchor>
  <xdr:twoCellAnchor>
    <xdr:from>
      <xdr:col>3</xdr:col>
      <xdr:colOff>75625</xdr:colOff>
      <xdr:row>10</xdr:row>
      <xdr:rowOff>167986</xdr:rowOff>
    </xdr:from>
    <xdr:to>
      <xdr:col>7</xdr:col>
      <xdr:colOff>569769</xdr:colOff>
      <xdr:row>12</xdr:row>
      <xdr:rowOff>142876</xdr:rowOff>
    </xdr:to>
    <xdr:sp macro="" textlink="">
      <xdr:nvSpPr>
        <xdr:cNvPr id="68" name="TextBox 67">
          <a:extLst>
            <a:ext uri="{FF2B5EF4-FFF2-40B4-BE49-F238E27FC236}">
              <a16:creationId xmlns:a16="http://schemas.microsoft.com/office/drawing/2014/main" id="{67AA7C47-09EB-44F0-B94F-334C172FA859}"/>
            </a:ext>
          </a:extLst>
        </xdr:cNvPr>
        <xdr:cNvSpPr txBox="1"/>
      </xdr:nvSpPr>
      <xdr:spPr>
        <a:xfrm>
          <a:off x="1885375" y="2072986"/>
          <a:ext cx="2907144" cy="355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0">
              <a:solidFill>
                <a:schemeClr val="bg1"/>
              </a:solidFill>
            </a:rPr>
            <a:t>Top</a:t>
          </a:r>
          <a:r>
            <a:rPr lang="en-CA" sz="1600" b="0" baseline="0">
              <a:solidFill>
                <a:schemeClr val="bg1"/>
              </a:solidFill>
            </a:rPr>
            <a:t> categories by product</a:t>
          </a:r>
          <a:endParaRPr lang="en-CA" sz="1600" b="0">
            <a:solidFill>
              <a:schemeClr val="bg1"/>
            </a:solidFill>
          </a:endParaRPr>
        </a:p>
      </xdr:txBody>
    </xdr:sp>
    <xdr:clientData/>
  </xdr:twoCellAnchor>
  <xdr:twoCellAnchor>
    <xdr:from>
      <xdr:col>15</xdr:col>
      <xdr:colOff>266125</xdr:colOff>
      <xdr:row>26</xdr:row>
      <xdr:rowOff>152110</xdr:rowOff>
    </xdr:from>
    <xdr:to>
      <xdr:col>20</xdr:col>
      <xdr:colOff>157019</xdr:colOff>
      <xdr:row>28</xdr:row>
      <xdr:rowOff>174625</xdr:rowOff>
    </xdr:to>
    <xdr:sp macro="" textlink="">
      <xdr:nvSpPr>
        <xdr:cNvPr id="70" name="TextBox 69">
          <a:extLst>
            <a:ext uri="{FF2B5EF4-FFF2-40B4-BE49-F238E27FC236}">
              <a16:creationId xmlns:a16="http://schemas.microsoft.com/office/drawing/2014/main" id="{21A2E78E-EAA9-4DDC-8E91-2CE2746BFFBE}"/>
            </a:ext>
          </a:extLst>
        </xdr:cNvPr>
        <xdr:cNvSpPr txBox="1"/>
      </xdr:nvSpPr>
      <xdr:spPr>
        <a:xfrm>
          <a:off x="9314875" y="5105110"/>
          <a:ext cx="2907144" cy="403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0">
              <a:solidFill>
                <a:schemeClr val="bg1"/>
              </a:solidFill>
            </a:rPr>
            <a:t>Top products reviewed</a:t>
          </a:r>
        </a:p>
      </xdr:txBody>
    </xdr:sp>
    <xdr:clientData/>
  </xdr:twoCellAnchor>
  <xdr:twoCellAnchor>
    <xdr:from>
      <xdr:col>2</xdr:col>
      <xdr:colOff>594919</xdr:colOff>
      <xdr:row>25</xdr:row>
      <xdr:rowOff>63501</xdr:rowOff>
    </xdr:from>
    <xdr:to>
      <xdr:col>8</xdr:col>
      <xdr:colOff>530292</xdr:colOff>
      <xdr:row>38</xdr:row>
      <xdr:rowOff>9065</xdr:rowOff>
    </xdr:to>
    <xdr:graphicFrame macro="">
      <xdr:nvGraphicFramePr>
        <xdr:cNvPr id="71" name="Chart 70">
          <a:extLst>
            <a:ext uri="{FF2B5EF4-FFF2-40B4-BE49-F238E27FC236}">
              <a16:creationId xmlns:a16="http://schemas.microsoft.com/office/drawing/2014/main" id="{BD8A0F83-2023-4DFE-8509-FB939B80A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555624</xdr:colOff>
      <xdr:row>10</xdr:row>
      <xdr:rowOff>158750</xdr:rowOff>
    </xdr:from>
    <xdr:to>
      <xdr:col>9</xdr:col>
      <xdr:colOff>0</xdr:colOff>
      <xdr:row>23</xdr:row>
      <xdr:rowOff>124370</xdr:rowOff>
    </xdr:to>
    <xdr:graphicFrame macro="">
      <xdr:nvGraphicFramePr>
        <xdr:cNvPr id="72" name="Chart 71">
          <a:extLst>
            <a:ext uri="{FF2B5EF4-FFF2-40B4-BE49-F238E27FC236}">
              <a16:creationId xmlns:a16="http://schemas.microsoft.com/office/drawing/2014/main" id="{490BC41E-1572-4143-AB08-D7FB1131F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25979</xdr:colOff>
      <xdr:row>25</xdr:row>
      <xdr:rowOff>127000</xdr:rowOff>
    </xdr:from>
    <xdr:to>
      <xdr:col>15</xdr:col>
      <xdr:colOff>95250</xdr:colOff>
      <xdr:row>38</xdr:row>
      <xdr:rowOff>142875</xdr:rowOff>
    </xdr:to>
    <xdr:graphicFrame macro="">
      <xdr:nvGraphicFramePr>
        <xdr:cNvPr id="73" name="Chart 72">
          <a:extLst>
            <a:ext uri="{FF2B5EF4-FFF2-40B4-BE49-F238E27FC236}">
              <a16:creationId xmlns:a16="http://schemas.microsoft.com/office/drawing/2014/main" id="{E8903AC7-3CB4-4E11-AEA8-BE3145F4B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221675</xdr:colOff>
      <xdr:row>23</xdr:row>
      <xdr:rowOff>187035</xdr:rowOff>
    </xdr:from>
    <xdr:to>
      <xdr:col>14</xdr:col>
      <xdr:colOff>112569</xdr:colOff>
      <xdr:row>26</xdr:row>
      <xdr:rowOff>100444</xdr:rowOff>
    </xdr:to>
    <xdr:sp macro="" textlink="">
      <xdr:nvSpPr>
        <xdr:cNvPr id="74" name="TextBox 73">
          <a:extLst>
            <a:ext uri="{FF2B5EF4-FFF2-40B4-BE49-F238E27FC236}">
              <a16:creationId xmlns:a16="http://schemas.microsoft.com/office/drawing/2014/main" id="{8D911F58-E9E7-4C50-B727-27EF8B16E890}"/>
            </a:ext>
          </a:extLst>
        </xdr:cNvPr>
        <xdr:cNvSpPr txBox="1"/>
      </xdr:nvSpPr>
      <xdr:spPr>
        <a:xfrm>
          <a:off x="5650925" y="4568535"/>
          <a:ext cx="2907144"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600" b="0">
              <a:solidFill>
                <a:schemeClr val="bg1"/>
              </a:solidFill>
            </a:rPr>
            <a:t>Avg </a:t>
          </a:r>
          <a:r>
            <a:rPr lang="en-CA" sz="1600" b="0" baseline="0">
              <a:solidFill>
                <a:schemeClr val="bg1"/>
              </a:solidFill>
            </a:rPr>
            <a:t> prices by caterory</a:t>
          </a:r>
          <a:endParaRPr lang="en-CA" sz="1600" b="0">
            <a:solidFill>
              <a:schemeClr val="bg1"/>
            </a:solidFill>
          </a:endParaRPr>
        </a:p>
      </xdr:txBody>
    </xdr:sp>
    <xdr:clientData/>
  </xdr:twoCellAnchor>
  <xdr:twoCellAnchor>
    <xdr:from>
      <xdr:col>14</xdr:col>
      <xdr:colOff>549853</xdr:colOff>
      <xdr:row>15</xdr:row>
      <xdr:rowOff>168850</xdr:rowOff>
    </xdr:from>
    <xdr:to>
      <xdr:col>22</xdr:col>
      <xdr:colOff>158750</xdr:colOff>
      <xdr:row>26</xdr:row>
      <xdr:rowOff>174625</xdr:rowOff>
    </xdr:to>
    <xdr:graphicFrame macro="">
      <xdr:nvGraphicFramePr>
        <xdr:cNvPr id="75" name="Chart 74">
          <a:extLst>
            <a:ext uri="{FF2B5EF4-FFF2-40B4-BE49-F238E27FC236}">
              <a16:creationId xmlns:a16="http://schemas.microsoft.com/office/drawing/2014/main" id="{D05D7CBC-1F62-4C7B-8E9C-5C1B7F9CA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365125</xdr:colOff>
      <xdr:row>11</xdr:row>
      <xdr:rowOff>47625</xdr:rowOff>
    </xdr:from>
    <xdr:to>
      <xdr:col>2</xdr:col>
      <xdr:colOff>396875</xdr:colOff>
      <xdr:row>15</xdr:row>
      <xdr:rowOff>63500</xdr:rowOff>
    </xdr:to>
    <xdr:sp macro="" textlink="">
      <xdr:nvSpPr>
        <xdr:cNvPr id="76" name="Rectangle: Rounded Corners 75">
          <a:extLst>
            <a:ext uri="{FF2B5EF4-FFF2-40B4-BE49-F238E27FC236}">
              <a16:creationId xmlns:a16="http://schemas.microsoft.com/office/drawing/2014/main" id="{51227CE0-9CF3-2E39-1C6C-84202BBE9704}"/>
            </a:ext>
          </a:extLst>
        </xdr:cNvPr>
        <xdr:cNvSpPr/>
      </xdr:nvSpPr>
      <xdr:spPr>
        <a:xfrm>
          <a:off x="365125" y="2143125"/>
          <a:ext cx="1238250" cy="777875"/>
        </a:xfrm>
        <a:prstGeom prst="roundRect">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358775</xdr:colOff>
      <xdr:row>16</xdr:row>
      <xdr:rowOff>88900</xdr:rowOff>
    </xdr:from>
    <xdr:to>
      <xdr:col>2</xdr:col>
      <xdr:colOff>390525</xdr:colOff>
      <xdr:row>20</xdr:row>
      <xdr:rowOff>104775</xdr:rowOff>
    </xdr:to>
    <xdr:sp macro="" textlink="">
      <xdr:nvSpPr>
        <xdr:cNvPr id="77" name="Rectangle: Rounded Corners 76">
          <a:extLst>
            <a:ext uri="{FF2B5EF4-FFF2-40B4-BE49-F238E27FC236}">
              <a16:creationId xmlns:a16="http://schemas.microsoft.com/office/drawing/2014/main" id="{F25A0906-321A-410C-B5D2-540A6CF92D75}"/>
            </a:ext>
          </a:extLst>
        </xdr:cNvPr>
        <xdr:cNvSpPr/>
      </xdr:nvSpPr>
      <xdr:spPr>
        <a:xfrm>
          <a:off x="358775" y="3136900"/>
          <a:ext cx="1238250" cy="777875"/>
        </a:xfrm>
        <a:prstGeom prst="roundRect">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414483</xdr:colOff>
      <xdr:row>12</xdr:row>
      <xdr:rowOff>55128</xdr:rowOff>
    </xdr:from>
    <xdr:to>
      <xdr:col>2</xdr:col>
      <xdr:colOff>523875</xdr:colOff>
      <xdr:row>14</xdr:row>
      <xdr:rowOff>159037</xdr:rowOff>
    </xdr:to>
    <xdr:sp macro="" textlink="">
      <xdr:nvSpPr>
        <xdr:cNvPr id="78" name="TextBox 77">
          <a:extLst>
            <a:ext uri="{FF2B5EF4-FFF2-40B4-BE49-F238E27FC236}">
              <a16:creationId xmlns:a16="http://schemas.microsoft.com/office/drawing/2014/main" id="{4521A025-5E91-437C-88BA-8C61717FD5D2}"/>
            </a:ext>
          </a:extLst>
        </xdr:cNvPr>
        <xdr:cNvSpPr txBox="1"/>
      </xdr:nvSpPr>
      <xdr:spPr>
        <a:xfrm>
          <a:off x="414483" y="2341128"/>
          <a:ext cx="1315892"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FF9D43"/>
              </a:solidFill>
            </a:rPr>
            <a:t>Overview</a:t>
          </a:r>
        </a:p>
      </xdr:txBody>
    </xdr:sp>
    <xdr:clientData/>
  </xdr:twoCellAnchor>
  <xdr:twoCellAnchor>
    <xdr:from>
      <xdr:col>0</xdr:col>
      <xdr:colOff>471633</xdr:colOff>
      <xdr:row>17</xdr:row>
      <xdr:rowOff>80528</xdr:rowOff>
    </xdr:from>
    <xdr:to>
      <xdr:col>2</xdr:col>
      <xdr:colOff>581025</xdr:colOff>
      <xdr:row>19</xdr:row>
      <xdr:rowOff>184437</xdr:rowOff>
    </xdr:to>
    <xdr:sp macro="" textlink="">
      <xdr:nvSpPr>
        <xdr:cNvPr id="79" name="TextBox 78">
          <a:hlinkClick xmlns:r="http://schemas.openxmlformats.org/officeDocument/2006/relationships" r:id="rId19"/>
          <a:extLst>
            <a:ext uri="{FF2B5EF4-FFF2-40B4-BE49-F238E27FC236}">
              <a16:creationId xmlns:a16="http://schemas.microsoft.com/office/drawing/2014/main" id="{25E6288B-5D2C-4811-B2C7-254DB8BD30A2}"/>
            </a:ext>
          </a:extLst>
        </xdr:cNvPr>
        <xdr:cNvSpPr txBox="1"/>
      </xdr:nvSpPr>
      <xdr:spPr>
        <a:xfrm>
          <a:off x="471633" y="3319028"/>
          <a:ext cx="1315892"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FF9D43"/>
              </a:solidFill>
            </a:rPr>
            <a:t>Insights</a:t>
          </a:r>
        </a:p>
      </xdr:txBody>
    </xdr:sp>
    <xdr:clientData/>
  </xdr:twoCellAnchor>
  <xdr:twoCellAnchor editAs="oneCell">
    <xdr:from>
      <xdr:col>14</xdr:col>
      <xdr:colOff>410562</xdr:colOff>
      <xdr:row>0</xdr:row>
      <xdr:rowOff>131381</xdr:rowOff>
    </xdr:from>
    <xdr:to>
      <xdr:col>22</xdr:col>
      <xdr:colOff>72025</xdr:colOff>
      <xdr:row>4</xdr:row>
      <xdr:rowOff>49269</xdr:rowOff>
    </xdr:to>
    <mc:AlternateContent xmlns:mc="http://schemas.openxmlformats.org/markup-compatibility/2006">
      <mc:Choice xmlns:a14="http://schemas.microsoft.com/office/drawing/2010/main" Requires="a14">
        <xdr:graphicFrame macro="">
          <xdr:nvGraphicFramePr>
            <xdr:cNvPr id="8" name="price_range 1">
              <a:extLst>
                <a:ext uri="{FF2B5EF4-FFF2-40B4-BE49-F238E27FC236}">
                  <a16:creationId xmlns:a16="http://schemas.microsoft.com/office/drawing/2014/main" id="{1A18F0A2-B14C-4885-A5D9-E86A335F7C27}"/>
                </a:ext>
              </a:extLst>
            </xdr:cNvPr>
            <xdr:cNvGraphicFramePr/>
          </xdr:nvGraphicFramePr>
          <xdr:xfrm>
            <a:off x="0" y="0"/>
            <a:ext cx="0" cy="0"/>
          </xdr:xfrm>
          <a:graphic>
            <a:graphicData uri="http://schemas.microsoft.com/office/drawing/2010/slicer">
              <sle:slicer xmlns:sle="http://schemas.microsoft.com/office/drawing/2010/slicer" name="price_range 1"/>
            </a:graphicData>
          </a:graphic>
        </xdr:graphicFrame>
      </mc:Choice>
      <mc:Fallback>
        <xdr:sp macro="" textlink="">
          <xdr:nvSpPr>
            <xdr:cNvPr id="0" name=""/>
            <xdr:cNvSpPr>
              <a:spLocks noTextEdit="1"/>
            </xdr:cNvSpPr>
          </xdr:nvSpPr>
          <xdr:spPr>
            <a:xfrm>
              <a:off x="8917372" y="131381"/>
              <a:ext cx="4522498" cy="70616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9525</xdr:rowOff>
    </xdr:from>
    <xdr:to>
      <xdr:col>22</xdr:col>
      <xdr:colOff>438227</xdr:colOff>
      <xdr:row>38</xdr:row>
      <xdr:rowOff>176795</xdr:rowOff>
    </xdr:to>
    <xdr:sp macro="" textlink="">
      <xdr:nvSpPr>
        <xdr:cNvPr id="2" name="Rectangle: Rounded Corners 1">
          <a:extLst>
            <a:ext uri="{FF2B5EF4-FFF2-40B4-BE49-F238E27FC236}">
              <a16:creationId xmlns:a16="http://schemas.microsoft.com/office/drawing/2014/main" id="{BC6C4D27-6332-4ED4-B3E1-E36682DC97B3}"/>
            </a:ext>
          </a:extLst>
        </xdr:cNvPr>
        <xdr:cNvSpPr/>
      </xdr:nvSpPr>
      <xdr:spPr>
        <a:xfrm>
          <a:off x="9525" y="9525"/>
          <a:ext cx="13839902" cy="7406270"/>
        </a:xfrm>
        <a:prstGeom prst="roundRect">
          <a:avLst>
            <a:gd name="adj" fmla="val 824"/>
          </a:avLst>
        </a:prstGeom>
        <a:solidFill>
          <a:schemeClr val="tx1"/>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145590</xdr:colOff>
      <xdr:row>0</xdr:row>
      <xdr:rowOff>158550</xdr:rowOff>
    </xdr:from>
    <xdr:to>
      <xdr:col>22</xdr:col>
      <xdr:colOff>166876</xdr:colOff>
      <xdr:row>6</xdr:row>
      <xdr:rowOff>131719</xdr:rowOff>
    </xdr:to>
    <xdr:sp macro="" textlink="">
      <xdr:nvSpPr>
        <xdr:cNvPr id="3" name="Rectangle: Rounded Corners 2">
          <a:extLst>
            <a:ext uri="{FF2B5EF4-FFF2-40B4-BE49-F238E27FC236}">
              <a16:creationId xmlns:a16="http://schemas.microsoft.com/office/drawing/2014/main" id="{5A6ABBBB-677F-4CF3-BBE3-5568F428090B}"/>
            </a:ext>
          </a:extLst>
        </xdr:cNvPr>
        <xdr:cNvSpPr/>
      </xdr:nvSpPr>
      <xdr:spPr>
        <a:xfrm>
          <a:off x="145590" y="158550"/>
          <a:ext cx="13292786" cy="1116169"/>
        </a:xfrm>
        <a:prstGeom prst="roundRect">
          <a:avLst>
            <a:gd name="adj" fmla="val 9857"/>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170989</xdr:colOff>
      <xdr:row>7</xdr:row>
      <xdr:rowOff>60475</xdr:rowOff>
    </xdr:from>
    <xdr:to>
      <xdr:col>2</xdr:col>
      <xdr:colOff>412826</xdr:colOff>
      <xdr:row>37</xdr:row>
      <xdr:rowOff>135520</xdr:rowOff>
    </xdr:to>
    <xdr:sp macro="" textlink="">
      <xdr:nvSpPr>
        <xdr:cNvPr id="4" name="Rectangle: Rounded Corners 3">
          <a:extLst>
            <a:ext uri="{FF2B5EF4-FFF2-40B4-BE49-F238E27FC236}">
              <a16:creationId xmlns:a16="http://schemas.microsoft.com/office/drawing/2014/main" id="{B7AB5ECE-E9C5-46E7-9BAC-88B39BFA5E16}"/>
            </a:ext>
          </a:extLst>
        </xdr:cNvPr>
        <xdr:cNvSpPr/>
      </xdr:nvSpPr>
      <xdr:spPr>
        <a:xfrm>
          <a:off x="170989" y="1393975"/>
          <a:ext cx="1448337" cy="5790045"/>
        </a:xfrm>
        <a:prstGeom prst="roundRect">
          <a:avLst>
            <a:gd name="adj" fmla="val 3954"/>
          </a:avLst>
        </a:prstGeom>
        <a:gradFill flip="none" rotWithShape="1">
          <a:gsLst>
            <a:gs pos="100000">
              <a:schemeClr val="bg2">
                <a:lumMod val="10000"/>
              </a:schemeClr>
            </a:gs>
            <a:gs pos="24000">
              <a:srgbClr val="333333"/>
            </a:gs>
            <a:gs pos="12000">
              <a:srgbClr val="404040"/>
            </a:gs>
            <a:gs pos="0">
              <a:srgbClr val="606060"/>
            </a:gs>
            <a:gs pos="37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592359</xdr:colOff>
      <xdr:row>2</xdr:row>
      <xdr:rowOff>99439</xdr:rowOff>
    </xdr:from>
    <xdr:to>
      <xdr:col>9</xdr:col>
      <xdr:colOff>220595</xdr:colOff>
      <xdr:row>5</xdr:row>
      <xdr:rowOff>9962</xdr:rowOff>
    </xdr:to>
    <xdr:sp macro="" textlink="">
      <xdr:nvSpPr>
        <xdr:cNvPr id="5" name="TextBox 4">
          <a:extLst>
            <a:ext uri="{FF2B5EF4-FFF2-40B4-BE49-F238E27FC236}">
              <a16:creationId xmlns:a16="http://schemas.microsoft.com/office/drawing/2014/main" id="{23FE9048-23AE-41BF-A7A6-90851495C9B3}"/>
            </a:ext>
          </a:extLst>
        </xdr:cNvPr>
        <xdr:cNvSpPr txBox="1"/>
      </xdr:nvSpPr>
      <xdr:spPr>
        <a:xfrm>
          <a:off x="592359" y="480439"/>
          <a:ext cx="5057486" cy="48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b="1">
              <a:solidFill>
                <a:srgbClr val="FF7900"/>
              </a:solidFill>
            </a:rPr>
            <a:t>Insights</a:t>
          </a:r>
        </a:p>
      </xdr:txBody>
    </xdr:sp>
    <xdr:clientData/>
  </xdr:twoCellAnchor>
  <xdr:twoCellAnchor editAs="oneCell">
    <xdr:from>
      <xdr:col>0</xdr:col>
      <xdr:colOff>209048</xdr:colOff>
      <xdr:row>29</xdr:row>
      <xdr:rowOff>14292</xdr:rowOff>
    </xdr:from>
    <xdr:to>
      <xdr:col>2</xdr:col>
      <xdr:colOff>400822</xdr:colOff>
      <xdr:row>36</xdr:row>
      <xdr:rowOff>120629</xdr:rowOff>
    </xdr:to>
    <xdr:pic>
      <xdr:nvPicPr>
        <xdr:cNvPr id="6" name="Picture 5">
          <a:extLst>
            <a:ext uri="{FF2B5EF4-FFF2-40B4-BE49-F238E27FC236}">
              <a16:creationId xmlns:a16="http://schemas.microsoft.com/office/drawing/2014/main" id="{15841414-7D85-42D1-921E-EA6AFD5069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09048" y="5538792"/>
          <a:ext cx="1398274" cy="1439837"/>
        </a:xfrm>
        <a:prstGeom prst="rect">
          <a:avLst/>
        </a:prstGeom>
        <a:effectLst>
          <a:outerShdw blurRad="50800" dist="38100" dir="2700000" algn="tl" rotWithShape="0">
            <a:prstClr val="black">
              <a:alpha val="40000"/>
            </a:prstClr>
          </a:outerShdw>
        </a:effectLst>
      </xdr:spPr>
    </xdr:pic>
    <xdr:clientData/>
  </xdr:twoCellAnchor>
  <xdr:twoCellAnchor>
    <xdr:from>
      <xdr:col>0</xdr:col>
      <xdr:colOff>314402</xdr:colOff>
      <xdr:row>10</xdr:row>
      <xdr:rowOff>183145</xdr:rowOff>
    </xdr:from>
    <xdr:to>
      <xdr:col>2</xdr:col>
      <xdr:colOff>333452</xdr:colOff>
      <xdr:row>15</xdr:row>
      <xdr:rowOff>8520</xdr:rowOff>
    </xdr:to>
    <xdr:sp macro="" textlink="">
      <xdr:nvSpPr>
        <xdr:cNvPr id="7" name="Rectangle: Rounded Corners 6">
          <a:extLst>
            <a:ext uri="{FF2B5EF4-FFF2-40B4-BE49-F238E27FC236}">
              <a16:creationId xmlns:a16="http://schemas.microsoft.com/office/drawing/2014/main" id="{2DA9FD84-B0A5-4E46-9A26-30CBA52114E1}"/>
            </a:ext>
          </a:extLst>
        </xdr:cNvPr>
        <xdr:cNvSpPr/>
      </xdr:nvSpPr>
      <xdr:spPr>
        <a:xfrm>
          <a:off x="314402" y="2088145"/>
          <a:ext cx="1225550" cy="777875"/>
        </a:xfrm>
        <a:prstGeom prst="roundRect">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308052</xdr:colOff>
      <xdr:row>16</xdr:row>
      <xdr:rowOff>33920</xdr:rowOff>
    </xdr:from>
    <xdr:to>
      <xdr:col>2</xdr:col>
      <xdr:colOff>327102</xdr:colOff>
      <xdr:row>20</xdr:row>
      <xdr:rowOff>49795</xdr:rowOff>
    </xdr:to>
    <xdr:sp macro="" textlink="">
      <xdr:nvSpPr>
        <xdr:cNvPr id="8" name="Rectangle: Rounded Corners 7">
          <a:extLst>
            <a:ext uri="{FF2B5EF4-FFF2-40B4-BE49-F238E27FC236}">
              <a16:creationId xmlns:a16="http://schemas.microsoft.com/office/drawing/2014/main" id="{AF1BEA37-7A31-4912-9BD5-3374EA89E704}"/>
            </a:ext>
          </a:extLst>
        </xdr:cNvPr>
        <xdr:cNvSpPr/>
      </xdr:nvSpPr>
      <xdr:spPr>
        <a:xfrm>
          <a:off x="308052" y="3081920"/>
          <a:ext cx="1225550" cy="777875"/>
        </a:xfrm>
        <a:prstGeom prst="roundRect">
          <a:avLst/>
        </a:prstGeom>
        <a:gradFill flip="none" rotWithShape="1">
          <a:gsLst>
            <a:gs pos="100000">
              <a:srgbClr val="202020"/>
            </a:gs>
            <a:gs pos="68000">
              <a:srgbClr val="333333"/>
            </a:gs>
            <a:gs pos="37000">
              <a:srgbClr val="404040"/>
            </a:gs>
            <a:gs pos="0">
              <a:srgbClr val="606060"/>
            </a:gs>
            <a:gs pos="99000">
              <a:schemeClr val="tx1">
                <a:lumMod val="85000"/>
                <a:lumOff val="15000"/>
              </a:schemeClr>
            </a:gs>
          </a:gsLst>
          <a:path path="circle">
            <a:fillToRect l="100000" t="100000"/>
          </a:path>
          <a:tileRect r="-100000" b="-100000"/>
        </a:gradFill>
        <a:ln>
          <a:noFill/>
        </a:ln>
        <a:effectLst>
          <a:outerShdw blurRad="50800" dist="38100" dir="2700000"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0</xdr:col>
      <xdr:colOff>363760</xdr:colOff>
      <xdr:row>12</xdr:row>
      <xdr:rowOff>148</xdr:rowOff>
    </xdr:from>
    <xdr:to>
      <xdr:col>2</xdr:col>
      <xdr:colOff>460452</xdr:colOff>
      <xdr:row>14</xdr:row>
      <xdr:rowOff>104057</xdr:rowOff>
    </xdr:to>
    <xdr:sp macro="" textlink="">
      <xdr:nvSpPr>
        <xdr:cNvPr id="9" name="TextBox 8">
          <a:hlinkClick xmlns:r="http://schemas.openxmlformats.org/officeDocument/2006/relationships" r:id="rId3"/>
          <a:extLst>
            <a:ext uri="{FF2B5EF4-FFF2-40B4-BE49-F238E27FC236}">
              <a16:creationId xmlns:a16="http://schemas.microsoft.com/office/drawing/2014/main" id="{C6517335-7985-437D-8AA8-4BBAE3940389}"/>
            </a:ext>
          </a:extLst>
        </xdr:cNvPr>
        <xdr:cNvSpPr txBox="1"/>
      </xdr:nvSpPr>
      <xdr:spPr>
        <a:xfrm>
          <a:off x="363760" y="2286148"/>
          <a:ext cx="1303192"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FF9D43"/>
              </a:solidFill>
            </a:rPr>
            <a:t>Overview</a:t>
          </a:r>
        </a:p>
      </xdr:txBody>
    </xdr:sp>
    <xdr:clientData/>
  </xdr:twoCellAnchor>
  <xdr:twoCellAnchor>
    <xdr:from>
      <xdr:col>0</xdr:col>
      <xdr:colOff>420910</xdr:colOff>
      <xdr:row>17</xdr:row>
      <xdr:rowOff>25548</xdr:rowOff>
    </xdr:from>
    <xdr:to>
      <xdr:col>2</xdr:col>
      <xdr:colOff>517602</xdr:colOff>
      <xdr:row>19</xdr:row>
      <xdr:rowOff>129457</xdr:rowOff>
    </xdr:to>
    <xdr:sp macro="" textlink="">
      <xdr:nvSpPr>
        <xdr:cNvPr id="10" name="TextBox 9">
          <a:extLst>
            <a:ext uri="{FF2B5EF4-FFF2-40B4-BE49-F238E27FC236}">
              <a16:creationId xmlns:a16="http://schemas.microsoft.com/office/drawing/2014/main" id="{CFB77791-C017-4EB4-AB49-D1F12E3E70DC}"/>
            </a:ext>
          </a:extLst>
        </xdr:cNvPr>
        <xdr:cNvSpPr txBox="1"/>
      </xdr:nvSpPr>
      <xdr:spPr>
        <a:xfrm>
          <a:off x="420910" y="3264048"/>
          <a:ext cx="1303192"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FF9D43"/>
              </a:solidFill>
            </a:rPr>
            <a:t>Insights</a:t>
          </a:r>
        </a:p>
      </xdr:txBody>
    </xdr:sp>
    <xdr:clientData/>
  </xdr:twoCellAnchor>
  <xdr:twoCellAnchor>
    <xdr:from>
      <xdr:col>2</xdr:col>
      <xdr:colOff>571500</xdr:colOff>
      <xdr:row>8</xdr:row>
      <xdr:rowOff>111125</xdr:rowOff>
    </xdr:from>
    <xdr:to>
      <xdr:col>22</xdr:col>
      <xdr:colOff>158750</xdr:colOff>
      <xdr:row>33</xdr:row>
      <xdr:rowOff>0</xdr:rowOff>
    </xdr:to>
    <xdr:sp macro="" textlink="">
      <xdr:nvSpPr>
        <xdr:cNvPr id="11" name="TextBox 10">
          <a:extLst>
            <a:ext uri="{FF2B5EF4-FFF2-40B4-BE49-F238E27FC236}">
              <a16:creationId xmlns:a16="http://schemas.microsoft.com/office/drawing/2014/main" id="{2BF64BE2-E154-DCEC-8CA8-9208F3F83312}"/>
            </a:ext>
          </a:extLst>
        </xdr:cNvPr>
        <xdr:cNvSpPr txBox="1"/>
      </xdr:nvSpPr>
      <xdr:spPr>
        <a:xfrm>
          <a:off x="1778000" y="1635125"/>
          <a:ext cx="11652250" cy="4651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solidFill>
                <a:srgbClr val="FF7900"/>
              </a:solidFill>
            </a:rPr>
            <a:t>Top 3 categories by product count</a:t>
          </a:r>
        </a:p>
        <a:p>
          <a:r>
            <a:rPr lang="en-CA" sz="1600">
              <a:solidFill>
                <a:schemeClr val="bg1"/>
              </a:solidFill>
            </a:rPr>
            <a:t> </a:t>
          </a:r>
          <a:r>
            <a:rPr lang="en-CA" sz="1800">
              <a:solidFill>
                <a:schemeClr val="bg1"/>
              </a:solidFill>
            </a:rPr>
            <a:t>Home&amp;Kitchen (436), Computers&amp;Accessories (382), Electronics (297) — these three account for over 97% of all products.</a:t>
          </a:r>
        </a:p>
        <a:p>
          <a:endParaRPr lang="en-CA" sz="1800">
            <a:solidFill>
              <a:schemeClr val="bg1"/>
            </a:solidFill>
          </a:endParaRPr>
        </a:p>
        <a:p>
          <a:r>
            <a:rPr lang="en-CA" sz="1800" b="1">
              <a:solidFill>
                <a:srgbClr val="FF7900"/>
              </a:solidFill>
            </a:rPr>
            <a:t>Price range is skewed premium </a:t>
          </a:r>
        </a:p>
        <a:p>
          <a:r>
            <a:rPr lang="en-CA" sz="1600">
              <a:solidFill>
                <a:schemeClr val="bg1"/>
              </a:solidFill>
            </a:rPr>
            <a:t>Nearly half of all products (44.74%) are priced above ₹2,000. Budget products represent only 13.29% of the catalog.</a:t>
          </a:r>
        </a:p>
        <a:p>
          <a:endParaRPr lang="en-CA" sz="1600">
            <a:solidFill>
              <a:schemeClr val="bg1"/>
            </a:solidFill>
          </a:endParaRPr>
        </a:p>
        <a:p>
          <a:r>
            <a:rPr lang="en-CA" sz="1800" b="1">
              <a:solidFill>
                <a:srgbClr val="FF7900"/>
              </a:solidFill>
            </a:rPr>
            <a:t>Consistent rating quality</a:t>
          </a:r>
        </a:p>
        <a:p>
          <a:r>
            <a:rPr lang="en-CA" sz="1600">
              <a:solidFill>
                <a:schemeClr val="bg1"/>
              </a:solidFill>
            </a:rPr>
            <a:t> All categories maintain ratings between 3.8–4.3, suggesting Amazon maintains quality standards across its platform regardless of price range or discount level.</a:t>
          </a:r>
        </a:p>
        <a:p>
          <a:endParaRPr lang="en-CA" sz="1600">
            <a:solidFill>
              <a:schemeClr val="bg1"/>
            </a:solidFill>
          </a:endParaRPr>
        </a:p>
        <a:p>
          <a:r>
            <a:rPr lang="en-CA" sz="1800" b="1">
              <a:solidFill>
                <a:srgbClr val="FF7900"/>
              </a:solidFill>
            </a:rPr>
            <a:t>Amazon Basics leads in customer engagement </a:t>
          </a:r>
        </a:p>
        <a:p>
          <a:r>
            <a:rPr lang="en-CA" sz="1600">
              <a:solidFill>
                <a:schemeClr val="bg1"/>
              </a:solidFill>
            </a:rPr>
            <a:t>Amazon Basics High Speed HDMI Cable has 426,973 ratings — more than the next 3 products combined. This shows the dominance of Amazon's own brand in the accessories segment.</a:t>
          </a:r>
        </a:p>
        <a:p>
          <a:endParaRPr lang="en-C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128587</xdr:rowOff>
    </xdr:from>
    <xdr:to>
      <xdr:col>3</xdr:col>
      <xdr:colOff>66675</xdr:colOff>
      <xdr:row>28</xdr:row>
      <xdr:rowOff>14287</xdr:rowOff>
    </xdr:to>
    <xdr:graphicFrame macro="">
      <xdr:nvGraphicFramePr>
        <xdr:cNvPr id="2" name="Chart 1">
          <a:extLst>
            <a:ext uri="{FF2B5EF4-FFF2-40B4-BE49-F238E27FC236}">
              <a16:creationId xmlns:a16="http://schemas.microsoft.com/office/drawing/2014/main" id="{77F2321F-16F5-A9F9-DC74-53621D779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400049</xdr:colOff>
      <xdr:row>13</xdr:row>
      <xdr:rowOff>171450</xdr:rowOff>
    </xdr:from>
    <xdr:to>
      <xdr:col>8</xdr:col>
      <xdr:colOff>523874</xdr:colOff>
      <xdr:row>28</xdr:row>
      <xdr:rowOff>71437</xdr:rowOff>
    </xdr:to>
    <xdr:graphicFrame macro="">
      <xdr:nvGraphicFramePr>
        <xdr:cNvPr id="4" name="Chart 3">
          <a:extLst>
            <a:ext uri="{FF2B5EF4-FFF2-40B4-BE49-F238E27FC236}">
              <a16:creationId xmlns:a16="http://schemas.microsoft.com/office/drawing/2014/main" id="{E6ADF846-96AE-2DE0-353C-86390CB47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12</xdr:row>
      <xdr:rowOff>112662</xdr:rowOff>
    </xdr:from>
    <xdr:to>
      <xdr:col>12</xdr:col>
      <xdr:colOff>30726</xdr:colOff>
      <xdr:row>26</xdr:row>
      <xdr:rowOff>166687</xdr:rowOff>
    </xdr:to>
    <xdr:graphicFrame macro="">
      <xdr:nvGraphicFramePr>
        <xdr:cNvPr id="5" name="Chart 4">
          <a:extLst>
            <a:ext uri="{FF2B5EF4-FFF2-40B4-BE49-F238E27FC236}">
              <a16:creationId xmlns:a16="http://schemas.microsoft.com/office/drawing/2014/main" id="{EBEC49B7-80F8-487E-EF30-1998060E5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151582</xdr:colOff>
      <xdr:row>12</xdr:row>
      <xdr:rowOff>92996</xdr:rowOff>
    </xdr:from>
    <xdr:to>
      <xdr:col>14</xdr:col>
      <xdr:colOff>307258</xdr:colOff>
      <xdr:row>26</xdr:row>
      <xdr:rowOff>111841</xdr:rowOff>
    </xdr:to>
    <xdr:graphicFrame macro="">
      <xdr:nvGraphicFramePr>
        <xdr:cNvPr id="6" name="Chart 5">
          <a:extLst>
            <a:ext uri="{FF2B5EF4-FFF2-40B4-BE49-F238E27FC236}">
              <a16:creationId xmlns:a16="http://schemas.microsoft.com/office/drawing/2014/main" id="{C553B7F7-9285-FC85-22B6-3CA951D56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604991</xdr:colOff>
      <xdr:row>7</xdr:row>
      <xdr:rowOff>20483</xdr:rowOff>
    </xdr:from>
    <xdr:to>
      <xdr:col>17</xdr:col>
      <xdr:colOff>102420</xdr:colOff>
      <xdr:row>19</xdr:row>
      <xdr:rowOff>193776</xdr:rowOff>
    </xdr:to>
    <xdr:graphicFrame macro="">
      <xdr:nvGraphicFramePr>
        <xdr:cNvPr id="7" name="Chart 6">
          <a:extLst>
            <a:ext uri="{FF2B5EF4-FFF2-40B4-BE49-F238E27FC236}">
              <a16:creationId xmlns:a16="http://schemas.microsoft.com/office/drawing/2014/main" id="{75A47FB1-8F0F-710C-6387-2DBFD9A8E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254001</xdr:colOff>
      <xdr:row>14</xdr:row>
      <xdr:rowOff>72512</xdr:rowOff>
    </xdr:from>
    <xdr:to>
      <xdr:col>5</xdr:col>
      <xdr:colOff>442452</xdr:colOff>
      <xdr:row>28</xdr:row>
      <xdr:rowOff>91357</xdr:rowOff>
    </xdr:to>
    <xdr:graphicFrame macro="">
      <xdr:nvGraphicFramePr>
        <xdr:cNvPr id="8" name="Chart 7">
          <a:extLst>
            <a:ext uri="{FF2B5EF4-FFF2-40B4-BE49-F238E27FC236}">
              <a16:creationId xmlns:a16="http://schemas.microsoft.com/office/drawing/2014/main" id="{A2784B97-F34E-5CC8-83B7-FB4BEEF98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669298</xdr:colOff>
      <xdr:row>10</xdr:row>
      <xdr:rowOff>15563</xdr:rowOff>
    </xdr:from>
    <xdr:to>
      <xdr:col>23</xdr:col>
      <xdr:colOff>295141</xdr:colOff>
      <xdr:row>15</xdr:row>
      <xdr:rowOff>160986</xdr:rowOff>
    </xdr:to>
    <mc:AlternateContent xmlns:mc="http://schemas.openxmlformats.org/markup-compatibility/2006">
      <mc:Choice xmlns:a14="http://schemas.microsoft.com/office/drawing/2010/main" Requires="a14">
        <xdr:graphicFrame macro="">
          <xdr:nvGraphicFramePr>
            <xdr:cNvPr id="11" name="price_range">
              <a:extLst>
                <a:ext uri="{FF2B5EF4-FFF2-40B4-BE49-F238E27FC236}">
                  <a16:creationId xmlns:a16="http://schemas.microsoft.com/office/drawing/2014/main" id="{C7D4F7ED-3EB3-F6E6-9986-23CE5C3F14B4}"/>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dr:sp macro="" textlink="">
          <xdr:nvSpPr>
            <xdr:cNvPr id="0" name=""/>
            <xdr:cNvSpPr>
              <a:spLocks noTextEdit="1"/>
            </xdr:cNvSpPr>
          </xdr:nvSpPr>
          <xdr:spPr>
            <a:xfrm>
              <a:off x="25501375" y="1893732"/>
              <a:ext cx="4522498" cy="108450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9.841647800924" createdVersion="8" refreshedVersion="8" minRefreshableVersion="3" recordCount="1151" xr:uid="{0AEE97F8-768D-4458-B342-77261A1828C9}">
  <cacheSource type="worksheet">
    <worksheetSource name="amazon_final__4"/>
  </cacheSource>
  <cacheFields count="9">
    <cacheField name="product_id" numFmtId="0">
      <sharedItems/>
    </cacheField>
    <cacheField name="product_name" numFmtId="0">
      <sharedItems count="1152">
        <s v="TP-Link USB WiFi Adapter for"/>
        <s v="Acer 80 cm (32 inches)"/>
        <s v="OnePlus 80 cm (32 inches)"/>
        <s v="OnePlus 126 cm (50 inches)"/>
        <s v="Mi 108 cm (43 inches)"/>
        <s v="Wayona Nylon Braided 3A Lightning"/>
        <s v="FLiX (Beetel USB to Micro"/>
        <s v="Amazon Basics High-Speed HDMI Cable,"/>
        <s v="7SEVEN® Compatible for Samsung Smart"/>
        <s v="AmazonBasics Micro USB Fast Charging"/>
        <s v="VW 80 cm (32 inches)"/>
        <s v="Tata Sky Universal Remote"/>
        <s v="TP-LINK WiFi Dongle 300 Mbps"/>
        <s v="Airtel DigitalTV DTH Television, Setup"/>
        <s v="Model-P4 6 Way Swivel Tilt"/>
        <s v="Redmi 108 cm (43 inches)"/>
        <s v="Wayona Usb Nylon Braided Data"/>
        <s v="Flix (Beetel) Usb To Type"/>
        <s v="SKYWALL 81.28 cm (32 inches)"/>
        <s v="Acer 127 cm (50 inches)"/>
        <s v="Samsung 108 cm (43 inches)"/>
        <s v="Wayona Nylon Braided (2 Pack)"/>
        <s v="OnePlus 108 cm (43 inches)"/>
        <s v="boAt Deuce USB 300 2"/>
        <s v="Lapster USB 3.0 A to"/>
        <s v="TCL 100 cm (40 inches)"/>
        <s v="ZEBRONICS ZEB-USB150WF1 WiFi USB Mini"/>
        <s v="LOHAYA Remote Compatible for Mi"/>
        <s v="Gilary Multi Charging Cable, 3"/>
        <s v="TP-Link UE300 USB 3.0 to"/>
        <s v="Wayona Type C to Lightning"/>
        <s v="Dealfreez Case Compatible with Fire"/>
        <s v="Amazon Basics New Release Nylon"/>
        <s v="Isoelite Remote Compatible for Samsung"/>
        <s v="Wayona Nylon Braided USB Data"/>
        <s v="Wayona Nylon Braided 2M /"/>
        <s v="CROSSVOLT Compatible Dash/Warp Data Sync"/>
        <s v="VU 139 cm (55 inches)"/>
        <s v="PTron Solero T241 2.4A Type-C"/>
        <s v="Croma 80 cm (32 Inches)"/>
        <s v="boAt Laptop, Smartphone Type-c A400"/>
        <s v="LG 80 cm (32 inches)"/>
        <s v="boAt Type C A750 Stress"/>
        <s v="Cotbolt Silicone Protective Case Cover"/>
        <s v="Portronics Konnect L POR-1403 Fast"/>
        <s v="Electvision Remote Control Compatible with"/>
        <s v="King Shine Multi Retractable 3.0A"/>
        <s v="Lapster 5 pin mini usb"/>
        <s v="Portronics Konnect Spydr 31 3-in-1"/>
        <s v="Remote Control Compatible for Amazon"/>
        <s v="Hisense 108 cm (43 inches)"/>
        <s v="Redmi 126 cm (50 inches)"/>
        <s v="AmazonBasics 6-Feet DisplayPort (not USB"/>
        <s v="AmazonBasics 3 Feet High Speed"/>
        <s v="iFFALCON 80 cm (32 inches)"/>
        <s v="7SEVEN® Compatible Lg Smart Tv"/>
        <s v="AmazonBasics 3.5mm to 2-Male RCA"/>
        <s v="Acer 109 cm (43 inches)"/>
        <s v="Saifsmart Outlet Wall Mount Hanger"/>
        <s v="MI 2-in-1 USB Type C"/>
        <s v="AmazonBasics New Release ABS USB-A"/>
        <s v="LG 108 cm (43 inches)"/>
        <s v="pTron Solero 331 3.4Amps Multifunction"/>
        <s v="10k 8k 4k HDMI Cable,"/>
        <s v="LRIPL Compatible Sony Bravia LCD/led"/>
        <s v="boAt Type-c A400 Type-c to"/>
        <s v="Zoul Type C to Type"/>
        <s v="TP-LINK AC1300 Archer T3U Plus"/>
        <s v="LRIPL Mi Remote Control with"/>
        <s v="TP-Link Nano USB WiFi Dongle"/>
        <s v="Airtel DigitalTV DTH Remote SD/HD/HD"/>
        <s v="AmazonBasics New Release Nylon USB-A"/>
        <s v="Ambrane Fast 100W Output Cable"/>
        <s v="BlueRigger Digital Optical Audio Toslink"/>
        <s v="Duracell Type-C To Micro 1.2M"/>
        <s v="VU 138 cm (55 inches)"/>
        <s v="Zoul USB Type C Fast"/>
        <s v="Samsung 80 cm (32 inches)"/>
        <s v="MI Xiaomi USB Type C"/>
        <s v="GENERIC Ultra-Mini Bluetooth CSR 4.0"/>
        <s v="7SEVEN® Compatible for Tata Sky"/>
        <s v="EGate i9 Pro-Max 1080p Native"/>
        <s v="ZEBRONICS HAA2021 HDMI version 2.1"/>
        <s v="7SEVEN® Compatible for Sony Bravia"/>
        <s v="AmazonBasics Digital Optical Coax to"/>
        <s v="Wayona Type C Cable Nylon"/>
        <s v="Pinnaclz Original Combo of 2"/>
        <s v="Ambrane BCL-15 Lightning Cable for"/>
        <s v="LOHAYA Television Remote Compatible with"/>
        <s v="Wayona Nylon Braided Lightning USB"/>
        <s v="realme 10W Fast Charging Micro-USB"/>
        <s v="TP-Link AC1300 USB WiFi Adapter"/>
        <s v="Acer 139 cm (55 inches)"/>
        <s v="Wayona USB Type C 65W"/>
        <s v="Syncwire LTG to USB Cable"/>
        <s v="Skadioo WiFi Adapter for pc"/>
        <s v="FLiX (Beetel USB to Type"/>
        <s v="Zoul USB C to USB"/>
        <s v="FLiX (Beetel Flow USB to"/>
        <s v="7SEVEN® Bluetooth Voice Command Remote"/>
        <s v="Sony TV - Remote Compatible"/>
        <s v="Storite USB 3.0 Cable A"/>
        <s v="boAt LTG 500 Apple MFI"/>
        <s v="AmazonBasics USB C to Lightning"/>
        <s v="Amazon Basics USB 3.0 Cable"/>
        <s v="Wayona Usb C 65W Fast"/>
        <s v="Karbonn 80 cm (32 inches)"/>
        <s v="VW 60 cm (24 inches)"/>
        <s v="Amazon Basics USB A to"/>
        <s v="LOHAYA Television Remote Compatible for"/>
        <s v="Duracell Micro USB 3A Braided"/>
        <s v="Zebronics CU3100V Fast charging Type"/>
        <s v="FLiX (Beetel) USB to iPhone"/>
        <s v="Belkin Apple Certified Lightning to"/>
        <s v="Time Office Scanner Replacement Cable"/>
        <s v="Caldipree Silicone Case Cover Compatible"/>
        <s v="Storite USB 2.0 A to"/>
        <s v="Universal Remote Control for All"/>
        <s v="Cotbolt Silicone Case Cover Compatible"/>
        <s v="BlueRigger High Speed HDMI Cable"/>
        <s v="Amkette 30 Pin to USB"/>
        <s v="TCL 80 cm (32 inches)"/>
        <s v="POPIO Type C Dash Charging"/>
        <s v="MYVN LTG to USB for Fast"/>
        <s v="Tata Sky Universal Remote Compatible"/>
        <s v="WZATCO Pixel | Portable LED"/>
        <s v="7SEVEN® Compatible Tata Sky Remote"/>
        <s v="AmazonBasics USB 2.0 Extension Cable"/>
        <s v="Amazon Basics USB C to"/>
        <s v="Crypo™ Universal Remote Compatible with"/>
        <s v="OnePlus 138.7 cm (55 inches)"/>
        <s v="Posh 1.5 Meter High Speed"/>
        <s v="Amazon Basics HDMI Coupler,Black"/>
        <s v="boAt LTG 550v3 Lightning Apple"/>
        <s v="Wayona Nylon Braided Usb Syncing"/>
        <s v="Astigo Compatible Remote for Airtel"/>
        <s v="Portronics Konnect L 60W PD"/>
        <s v="TATA SKY HD Connection with"/>
        <s v="Remote Compatible for Samsung LED/LCD"/>
        <s v="SoniVision SA-D10 SA-D100 SA-D40 Home"/>
        <s v="Rts™ High Speed 3D Full"/>
        <s v="Agaro Blaze USBA to micro"/>
        <s v="AmazonBasics 6 Feet DisplayPort to"/>
        <s v="Sansui 140cm (55 inches) 4K"/>
        <s v="LOHAYA LCD/LED Remote Compatible for"/>
        <s v="Belkin USB C to USB-C"/>
        <s v="7SEVEN® TCL Remote Control Smart"/>
        <s v="Wayona 3in1 Nylon Braided 66W"/>
        <s v="Hi-Mobiler iPhone Charger Lightning Cable,2"/>
        <s v="Amazon Basics 16-Gauge Speaker Wire"/>
        <s v="Ambrane 60W / 3A Fast"/>
        <s v="Wayona Usb Type C To"/>
        <s v="Caprigo Heavy Duty TV Wall"/>
        <s v="Electvision Remote Control for led"/>
        <s v="Boat A 350 Type C"/>
        <s v="pTron Solero M241 2.4A Micro"/>
        <s v="AmazonBasics USB Type-C to USB"/>
        <s v="Croma 3A Fast charge 1m"/>
        <s v="Sony Bravia 164 cm (65"/>
        <s v="7SEVEN® Compatible for Mi tv"/>
        <s v="7SEVEN® Compatible Vu Smart Tv"/>
        <s v="Storite High Speed Micro USB"/>
        <s v="FLiX (Beetel) 3in1 (Type C|Micro|Iphone"/>
        <s v="SVM Products Unbreakable Set Top"/>
        <s v="VU 164 cm (65 inches)"/>
        <s v="CableCreation RCA to 3.5mm Male"/>
        <s v="Wayona USB Type C Fast"/>
        <s v="boAt Rugged V3 Braided Micro"/>
        <s v="AmazonBasics - High-Speed Male to"/>
        <s v="Wayona Nylon Braided Usb Type"/>
        <s v="7SEVEN Compatible LG TV Remote"/>
        <s v="Realme Smart TV Stick 4K"/>
        <s v="Acer 100 cm (40 inches)"/>
        <s v="Lapster usb 2.0 mantra cable,"/>
        <s v="AmazonBasics High-Speed Braided HDMI Cable"/>
        <s v="Cubetek 3 in 1 LCD"/>
        <s v="KRISONS Thunder Speaker, Multimedia Home"/>
        <s v="Dealfreez Case Compatible for Fire"/>
        <s v="Airtel Digital TV HD Set"/>
        <s v="LOHAYA Voice Assistant Remote Compatible"/>
        <s v="Samsung 138 cm (55 inches)"/>
        <s v="Amazon Brand - Solimo 3A"/>
        <s v="Mi 100 cm (40 inches)"/>
        <s v="Astigo Compatible Remote Control for"/>
        <s v="Toshiba 108 cm (43 inches)"/>
        <s v="Lenovo USB A to Type-C"/>
        <s v="Amazon Brand - Solimo 65W"/>
        <s v="LG 139 cm (55 inches)"/>
        <s v="Tata Sky Digital TV HD"/>
        <s v="VU 108 cm (43 inches)"/>
        <s v="Storite Super Speed USB 3.0"/>
        <s v="Kodak 80 cm (32 Inches)"/>
        <s v="AmazonBasics Double Braided Nylon USB"/>
        <s v="Firestick Remote"/>
        <s v="AmazonBasics 10.2 Gbps High-Speed 4K"/>
        <s v="Hisense 126 cm (50 inches)"/>
        <s v="Tuarso 8K HDMI 2.1 Cable"/>
        <s v="AmazonBasics USB Type-C to Micro-B"/>
        <s v="Kodak 139 cm (55 inches)"/>
        <s v="Smashtronics® - Case for Firetv"/>
        <s v="7SEVEN® Suitable Sony Tv Remote"/>
        <s v="PROLEGEND® PL-T002 Universal TV Stand"/>
        <s v="WANBO X1 Pro (Upgraded) |"/>
        <s v="Lava Charging Adapter Elements D3"/>
        <s v="TIZUM High Speed HDMI Cable"/>
        <s v="Technotech High Speed HDMI Cable"/>
        <s v="NK STAR 950 Mbps USB"/>
        <s v="LS LAPSTER Quality Assured USB"/>
        <s v="Amazon Basics 10.2 Gbps High-Speed"/>
        <s v="Kodak 126 cm (50 inches)"/>
        <s v="ZORBES® Wall Adapter Holder for"/>
        <s v="Sansui 80cm (32 inches) HD"/>
        <s v="Synqe USB Type C Fast"/>
        <s v="Bestor ® 8K Hdmi 2.1"/>
        <s v="Irusu Play VR Plus Virtual"/>
        <s v="Amazon Brand - Solimo Fast"/>
        <s v="Synqe USB C to USB"/>
        <s v="Shopoflux Silicone Remote Cover for"/>
        <s v="EYNK Extra Long Micro USB"/>
        <s v="LUNAGARIYA®, Protective Case Compatible with"/>
        <s v="7SEVEN® Compatible with Fire Tv"/>
        <s v="PRUSHTI COVER AND BAGS, Protective"/>
        <s v="Aine HDMI Male to VGA"/>
        <s v="Mi 80 cm (32 inches)"/>
        <s v="TCL 108 cm (43 inches)"/>
        <s v="REDTECH USB-C to Lightning Cable"/>
        <s v="OnePlus 163.8 cm (65 inches)"/>
        <s v="AmazonBasics 108 cm (43 inches)"/>
        <s v="Synqe Type C to Type"/>
        <s v="Airtel DigitalTV HD Setup Box"/>
        <s v="ESR USB C to Lightning"/>
        <s v="MI 138.8 cm (55 inches)"/>
        <s v="Storite USB Extension Cable USB"/>
        <s v="MI Power Bank 3i 20000mAh"/>
        <s v="Redmi A1 (Light Blue, 2GB"/>
        <s v="OnePlus Nord 2T 5G (Jade"/>
        <s v="OnePlus Nord 2T 5G (Gray"/>
        <s v="Redmi A1 (Black, 2GB RAM,"/>
        <s v="Redmi A1 (Light Green, 2GB"/>
        <s v="Samsung Galaxy M04 Dark Blue,"/>
        <s v="PTron Tangentbeat in-Ear Bluetooth 5.0"/>
        <s v="Redmi 10A (Charcoal Black, 4GB"/>
        <s v="boAt Bassheads 100 in Ear"/>
        <s v="SanDisk Ultra® microSDXC™ UHS-I Card,"/>
        <s v="Samsung Galaxy M04 Light Green,"/>
        <s v="MI 10000mAh Lithium Ion, Lithium"/>
        <s v="Mi 10000mAH Li-Polymer, Micro-USB and"/>
        <s v="ELV Car Mount Adjustable Car"/>
        <s v="Samsung 25W USB Travel Adapter"/>
        <s v="Samsung Galaxy M33 5G (Mystique"/>
        <s v="Samsung Galaxy M33 5G (Emerald"/>
        <s v="iQOO vivo Z6 5G (Chromatic"/>
        <s v="Redmi 9 Activ (Carbon Black,"/>
        <s v="Redmi 9A Sport (Coral Green,"/>
        <s v="Fire-Boltt Ninja Call Pro Plus"/>
        <s v="Redmi 10A (Sea Blue, 4GB"/>
        <s v="AGARO Blaze USB 3.0 to"/>
        <s v="Redmi 10A (Slate Grey, 4GB"/>
        <s v="Duracell 38W Fast Car Charger"/>
        <s v="realme narzo 50 (Speed Blue,"/>
        <s v="WeCool Bluetooth Extendable Selfie Sticks"/>
        <s v="OPPO A74 5G (Fantastic Purple,6GB"/>
        <s v="Samsung Original 25W USB Travel"/>
        <s v="realme Buds Classic Wired in"/>
        <s v="iQOO Neo 6 5G (Dark"/>
        <s v="Portronics Adapto 20 Type C"/>
        <s v="iQOO Z6 44W by vivo"/>
        <s v="Fire-Boltt Gladiator 1.96 Biggest Display&quot;"/>
        <s v="STRIFF PS2_01 Multi Angle Mobile/Tablet"/>
        <s v="Samsung Galaxy Buds Live Bluetooth"/>
        <s v="PTron Boom Ultima 4D Dual"/>
        <s v="Samsung Galaxy M13 (Aqua Green,"/>
        <s v="OnePlus 10R 5G (Forest Green,"/>
        <s v="Ambrane Mobile Holding Stand, 180°"/>
        <s v="Ambrane 10000mAh Slim Power Bank,"/>
        <s v="Nokia 105 Single SIM, Keypad"/>
        <s v="PTron Tangent Lite Bluetooth 5.0"/>
        <s v="Samsung EVO Plus 64GB microSDXC"/>
        <s v="Samsung Galaxy M13 (Midnight Blue,"/>
        <s v="MI Xiaomi 22.5W Fast USB"/>
        <s v="Redmi Note 11 (Space Black,"/>
        <s v="USB Charger, Oraimo Elite Dual"/>
        <s v="Goldmedal Curve Plus 202042 Plastic"/>
        <s v="WeCool C1 Car Mobile Holder"/>
        <s v="iQOO Z6 Lite 5G by"/>
        <s v="Redmi Note 11 Pro +"/>
        <s v="boAt Bassheads 242 in Ear"/>
        <s v="Portronics MODESK POR-122 Universal Mobile"/>
        <s v="realme narzo 50i (Mint Green,"/>
        <s v="MI 10000mAh 3i Lithium Polymer"/>
        <s v="Nokia 105 Plus Single SIM,"/>
        <s v="Samsung Galaxy M13 (Stardust Brown,"/>
        <s v="OPPO A74 5G (Fluid Black,"/>
        <s v="Spigen EZ Fit Tempered Glass"/>
        <s v="iQOO Z6 Pro 5G by"/>
        <s v="MI 33W SonicCharge 2.0 USB"/>
        <s v="OPPO A31 (Mystery Black, 6GB"/>
        <s v="Motorola a10 Dual Sim keypad"/>
        <s v="boAt Wave Call Smart Watch,"/>
        <s v="Portronics CarPower Mini Car Charger"/>
        <s v="boAt Newly Launched Wave Electra"/>
        <s v="iQOO vivo Z6 5G (Dynamo"/>
        <s v="Samsung Ehs64 Ehs64Avfwecinu Hands-Free Wired"/>
        <s v="SWAPKART Flexible Mobile Tabletop Stand,"/>
        <s v="Redmi 9A Sport (Carbon Black,"/>
        <s v="Amozo Ultra Hybrid Camera and"/>
        <s v="ELV Aluminum Adjustable Mobile Phone"/>
        <s v="Tecno Spark 9 (Sky Mirror,"/>
        <s v="JBL C100SI Wired In Ear"/>
        <s v="Samsung Galaxy M13 5G (Aqua"/>
        <s v="Tukzer Capacitive Stylus Pen for"/>
        <s v="Mi 10W Wall Charger for"/>
        <s v="Noise ColorFit Pro 4 Alpha"/>
        <s v="Elv Mobile Phone Mount Tabletop"/>
        <s v="Redmi 11 Prime 5G (Meadow"/>
        <s v="PTron Newly Launched Force X10"/>
        <s v="Portronics CLAMP X Car-Vent Mobile"/>
        <s v="pTron Volta Dual Port 12W"/>
        <s v="boAt Wave Lite Smartwatch with"/>
        <s v="Samsung Galaxy M32 Prime Edition"/>
        <s v="Redmi Note 11T 5G (Matte"/>
        <s v="Noise Pulse 2 Max Advanced"/>
        <s v="Myvn 30W Warp/20W Dash Charging"/>
        <s v="Redmi Note 11T 5G (Aquamarine"/>
        <s v="Newly Launched Boult Dive+ with"/>
        <s v="OnePlus Nord Watch with 1.78”"/>
        <s v="Noise Agile 2 Buzz Bluetooth"/>
        <s v="Flix (Beetel) Bolt 2.4 12W"/>
        <s v="Kyosei Advanced Tempered Glass Compatible"/>
        <s v="STRIFF 12 Pieces Highly Flexible"/>
        <s v="Redmi 11 Prime 5G (Thunder"/>
        <s v="Samsung Original EHS64 Wired in"/>
        <s v="STRIFF Multi Angle Tablet/Mobile Stand."/>
        <s v="WeCool B1 Mobile Holder for"/>
        <s v="Sounce 360 Adjustable Mobile Phone"/>
        <s v="OpenTech® Military-Grade Tempered Glass Screen"/>
        <s v="EN LIGNE Adjustable Cell Phone"/>
        <s v="Tecno Spark 8T (Turquoise Cyan,"/>
        <s v="URBN 20000 mAh Lithium_Polymer 22.5W"/>
        <s v="Redmi Note 11T 5G (Stardust"/>
        <s v="OnePlus 10T 5G (Moonstone Black,"/>
        <s v="Nokia 150 (2020) (Cyan)"/>
        <s v="Noise ColorFit Ultra SE Smart"/>
        <s v="SanDisk Ultra microSD UHS-I Card"/>
        <s v="iPhone Original 20W C Type"/>
        <s v="Nokia 8210 4G Volte keypad"/>
        <s v="Sounce Protective Case Cover Compatible"/>
        <s v="Samsung Galaxy M53 5G (Deep"/>
        <s v="iQOO 9 SE 5G (Sunset"/>
        <s v="SHREENOVA ID116 Plus Bluetooth Fitness"/>
        <s v="POCO C31 (Shadow Gray, 64"/>
        <s v="Noise_Colorfit Smart Watch Charger 2"/>
        <s v="POPIO Tempered Glass Screen Protector"/>
        <s v="10WeRun Id-116 Bluetooth Smartwatch Wireless"/>
        <s v="Tokdis MX-1 Pro Bluetooth Calling"/>
        <s v="URBN 20000 mAh lithium_polymer Power"/>
        <s v="Noise ColorFit Ultra 2 Buzz"/>
        <s v="Redmi Note 11 (Horizon Blue,"/>
        <s v="Spigen Ultra Hybrid Back Cover"/>
        <s v="LAPSTER 12pcs Spiral Cable Protectors"/>
        <s v="MI REDMI 9i Sport (Carbon"/>
        <s v="Fire-Boltt Ninja 3 Smartwatch Full"/>
        <s v="Lava A1 Josh 21(Blue Silver)"/>
        <s v="POPIO Tempered Glass Compatible for"/>
        <s v="FLiX Usb Charger,Flix (Beetel) Bolt"/>
        <s v="Prolet Classic Bumper Case Cover"/>
        <s v="Samsung Galaxy S20 FE 5G"/>
        <s v="POCO C31 (Royal Blue, 64"/>
        <s v="Noise ColorFit Pulse Grand Smart"/>
        <s v="Amazon Basics 2 Amp USB"/>
        <s v="Mobilife Bluetooth Extendable Selfie Stick"/>
        <s v="Ambrane 27000mAh Power Bank, 20W"/>
        <s v="STRIFF Wall Mount Phone Holder"/>
        <s v="Fire-Boltt Tank 1.85 Bluetooth Calling&quot;"/>
        <s v="Elv Aluminium Adjustable Mobile Phone"/>
        <s v="Samsung Galaxy M13 5G (Stardust"/>
        <s v="DYAZO USB 3.0 Type C"/>
        <s v="boAt BassHeads 100 in-Ear Wired"/>
        <s v="boAt Airdopes 141 Bluetooth Truly"/>
        <s v="SanDisk Cruzer Blade 32GB USB"/>
        <s v="Logitech B170 Wireless Mouse, 2.4"/>
        <s v="Storio Kids Toys LCD Writing"/>
        <s v="boAt Airdopes 121v2 in-Ear True"/>
        <s v="SKE Bed Study Table Portable"/>
        <s v="boAt Rockerz 255 Pro+ in-Ear"/>
        <s v="STRIFF Adjustable Laptop Tabletop Stand"/>
        <s v="ZEBRONICS Zeb-Bro in Ear Wired"/>
        <s v="boAt Rockerz 450 Bluetooth On"/>
        <s v="JBL C50HI, Wired in Ear"/>
        <s v="LAPSTER Spiral Charger Spiral Charger"/>
        <s v="HP v236w USB 2.0 64GB"/>
        <s v="HP X1000 Wired USB Mouse"/>
        <s v="Portronics Toad 23 Wireless Optical"/>
        <s v="Boult Audio BassBuds X1 in-Ear"/>
        <s v="Dell KB216 Wired Multimedia USB"/>
        <s v="Dell MS116 1000Dpi USB Wired"/>
        <s v="Boya ByM1 Auxiliary Omnidirectional Lavalier"/>
        <s v="Duracell Ultra Alkaline AA Battery,"/>
        <s v="Classmate Octane Neon- Blue Gel"/>
        <s v="3M Scotch Double Sided Heavy"/>
        <s v="boAt Bassheads 152 in Ear"/>
        <s v="boAt BassHeads 122 Wired Earphones"/>
        <s v="Dell USB Wireless Keyboard and"/>
        <s v="Seagate Expansion 1TB External HDD"/>
        <s v="HP w100 480P 30 FPS"/>
        <s v="ZEBRONICS Zeb-Dash Plus 2.4GHz High"/>
        <s v="Zebronics Zeb-Companion 107 USB Wireless"/>
        <s v="SYVO WT 3130 Aluminum Tripod"/>
        <s v="Boult Audio Airbass Z20 True"/>
        <s v="SanDisk Ultra Flair 64GB USB"/>
        <s v="boAt Rockerz 330 in-Ear Bluetooth"/>
        <s v="Casio FX-991ES Plus-2nd Edition Scientific"/>
        <s v="TP-Link AC750 Wifi Range Extender"/>
        <s v="DIGITEK® (DTR 260 GT) Gorilla"/>
        <s v="HP 805 Black Original Ink"/>
        <s v="GIZGA essentials Universal Silicone Keyboard"/>
        <s v="SanDisk Ultra 128 GB USB"/>
        <s v="Boult Audio ZCharge Bluetooth Wireless"/>
        <s v="Dell WM118 Wireless Mouse, 2.4"/>
        <s v="Boult Audio AirBass PowerBuds with"/>
        <s v="Eveready 1015 Carbon Zinc AA"/>
        <s v="Zebronics Zeb-Transformer-M Optical USB Gaming"/>
        <s v="PIDILITE Fevicryl Acrylic Colours Sunflower"/>
        <s v="STRIFF Mpad Mouse Mat 230X190X3mm"/>
        <s v="Gizga Essentials Hard Drive Case"/>
        <s v="Boult Audio FXCharge with ENC,"/>
        <s v="Boult Audio Probass Curve Bluetooth"/>
        <s v="Casio FX-82MS 2nd Gen Non-Programmable"/>
        <s v="Tygot 10 Inches Big LED"/>
        <s v="HP X200 Wireless Mouse with"/>
        <s v="Oakter Mini UPS for 12V"/>
        <s v="TP-Link Archer AC1200 Archer C6"/>
        <s v="boAt Rockerz 550 Over Ear"/>
        <s v="Xiaomi Mi Wired in Ear"/>
        <s v="Zodo 8. 5 inch LCD"/>
        <s v="Zebronics ZEB-KM2100 Multimedia USB Keyboard"/>
        <s v="ZEBRONICS Zeb-Comfort Wired USB Mouse,"/>
        <s v="boAt Rockerz 370 On Ear"/>
        <s v="ZEBRONICS Zeb-Astra 20 Wireless BT"/>
        <s v="Panasonic CR-2032/5BE Lithium Coin Battery"/>
        <s v="MemeHo® Smart Standard Multi-Purpose Laptop"/>
        <s v="SanDisk Ultra Dual Drive Go"/>
        <s v="Tizum Mouse Pad/ Computer Mouse"/>
        <s v="Epson 003 65 ml for"/>
        <s v="ZEBRONICS Zeb-Thunder Bluetooth Wireless Over"/>
        <s v="Quantum QHM-7406 Full-Sized Keyboard with"/>
        <s v="STRIFF Laptop Tabletop Stand, Fold-Up,"/>
        <s v="Logitech M221 Wireless Mouse, Silent"/>
        <s v="Classmate Soft Cover 6 Subject"/>
        <s v="HP 150 Wireless USB Mouse"/>
        <s v="Duracell Rechargeable AA 1300mAh Batteries,"/>
        <s v="boAt Airdopes 181 in-Ear True"/>
        <s v="TP-Link USB Bluetooth Adapter for"/>
        <s v="SanDisk Ultra Dual Drive Luxe"/>
        <s v="rts [2 Pack] Mini USB"/>
        <s v="HP 682 Black Original Ink"/>
        <s v="Logitech H111 Wired On Ear"/>
        <s v="Digitek DTR 550 LW (67"/>
        <s v="TP-Link TL-WA850RE Single_Band 300Mbps RJ45"/>
        <s v="COI Note Pad/Memo Book with"/>
        <s v="Fujifilm Instax Mini Single Pack"/>
        <s v="Samsung Galaxy Watch4 Bluetooth(4.4 cm,"/>
        <s v="Noise Buds Vs104 Bluetooth Truly"/>
        <s v="Duracell Ultra Alkaline AAA Battery,"/>
        <s v="JBL C200SI, Premium in Ear"/>
        <s v="Acer EK220Q 21.5 Inch (54.61"/>
        <s v="boAt Dual Port Rapid Car"/>
        <s v="Zebronics ZEB-COUNTY 3W Wireless Bluetooth"/>
        <s v="Zebronics Wired Keyboard and Mouse"/>
        <s v="JBL Tune 215BT, 16 Hrs"/>
        <s v="Gizga Essentials Professional 3-in-1 Cleaning"/>
        <s v="SanDisk Ultra Dual 64 GB"/>
        <s v="TP-Link Tapo 360° 2MP 1080p"/>
        <s v="boAt Airdopes 171 in Ear"/>
        <s v="Duracell Plus AAA Rechargeable Batteries"/>
        <s v="Logitech B100 Wired USB Mouse,"/>
        <s v="Noise Pulse Buzz 1.69 Bluetooth&quot;"/>
        <s v="Classmate 2100117 Soft Cover 6"/>
        <s v="AirCase Rugged Hard Drive Case"/>
        <s v="Noise Buds VS402 Truly Wireless"/>
        <s v="JBL Go 2, Wireless Portable"/>
        <s v="Robustrion Tempered Glass Screen Protector"/>
        <s v="Redgear Pro Wireless Gamepad with"/>
        <s v="Logitech M235 Wireless Mouse, 1000"/>
        <s v="TP-link N300 WiFi Wireless Router"/>
        <s v="Logitech MK240 Nano Wireless USB"/>
        <s v="Callas Multipurpose Foldable Laptop Table"/>
        <s v="Casio MJ-12D 150 Steps Check"/>
        <s v="Amazon Basics Multipurpose Foldable Laptop"/>
        <s v="Kanget [2 Pack] Type C"/>
        <s v="Amazon Basics Magic Slate 8.5-inch"/>
        <s v="Zebronics ZEB-90HB USB Hub, 4"/>
        <s v="Noise ColorFit Pro 2 Full"/>
        <s v="Zebronics Zeb Buds C2 in"/>
        <s v="Redgear A-15 Wired Gaming Mouse"/>
        <s v="JBL Commercial CSLM20B Auxiliary Omnidirectional"/>
        <s v="Fire-Boltt India's No 1 Smartwatch"/>
        <s v="Eveready Red 1012 AAA Batteries"/>
        <s v="SanDisk Extreme microSD UHS I"/>
        <s v="Portronics MPORT 31C 4-in-1 USB"/>
        <s v="Infinity (JBL Fuze Pint, Wireless"/>
        <s v="AirCase Protective Laptop Bag Sleeve"/>
        <s v="Brand Conquer 6 in 1"/>
        <s v="TP-Link AC750 Dual Band Wireless"/>
        <s v="Parker Quink Ink Bottle, Blue"/>
        <s v="STRIFF Laptop Stand Adjustable Laptop"/>
        <s v="Logitech MK215 Wireless Keyboard and"/>
        <s v="boAt Bassheads 225 in Ear"/>
        <s v="Duracell Chhota Power AA Battery"/>
        <s v="Zebronics Zeb-Transformer Gaming Keyboard and"/>
        <s v="SanDisk Ultra 64 GB USB"/>
        <s v="Parker Classic Gold Gold Trim"/>
        <s v="Tarkan Portable Folding Laptop Desk"/>
        <s v="Quantum RJ45 Ethernet Patch Cable/LAN"/>
        <s v="HP USB Wireless Spill Resistance"/>
        <s v="HUMBLE Dynamic Lapel Collar Mic"/>
        <s v="Boult Audio Omega with 30dB"/>
        <s v="STRIFF UPH2W Multi Angle Tablet/Mobile"/>
        <s v="Amazon Basics Wireless Mouse |"/>
        <s v="Crucial RAM 8GB DDR4 3200MHz"/>
        <s v="APC Back-UPS BX600C-IN 600VA /"/>
        <s v="Luxor 5 Subject Single Ruled"/>
        <s v="Zebronics Zeb-Jaguar Wireless Mouse, 2.4GHz"/>
        <s v="Boult Audio Truebuds with 30H"/>
        <s v="Wembley LCD Writing Pad/Tab |"/>
        <s v="Gizga Essentials Multi-Purpose Portable &amp;"/>
        <s v="E-COSMOS Plug in LED Night"/>
        <s v="Noise Buds VS201 V2 in-Ear"/>
        <s v="Lapster Gel Mouse pad with"/>
        <s v="Gizga Essentials Earphone Carrying Case,"/>
        <s v="SanDisk Ultra SDHC UHS-I Card"/>
        <s v="DIGITEK® (DRL-14C) Professional (31cm) Dual"/>
        <s v="Classmate Long Notebook - 140"/>
        <s v="Lenovo 300 Wired Plug &amp;"/>
        <s v="Dyazo 6 Angles Adjustable Aluminum"/>
        <s v="Western Digital WD 2TB My"/>
        <s v="Logitech C270 Digital HD Webcam"/>
        <s v="Portronics MPORT 31 4 Ports"/>
        <s v="Zinq Five Fan Cooling Pad"/>
        <s v="Gizga Essentials Webcam Cover, Privacy"/>
        <s v="HP Z3700 Wireless Optical Mouse"/>
        <s v="MAONO AU-400 Lavalier Auxiliary Omnidirectional"/>
        <s v="TABLE MAGIC Multipurpose Laptop Table"/>
        <s v="GIZGA Essentials Portable Tabletop Tablet"/>
        <s v="boAt Stone 650 10W Bluetooth"/>
        <s v="ESnipe Mart Worldwide Travel Adapter"/>
        <s v="boAt Stone 180 5W Bluetooth"/>
        <s v="Portronics Ruffpad 8.5M Multicolor LCD"/>
        <s v="BRUSTRO Copytinta Coloured Craft Paper"/>
        <s v="Cuzor 12V Mini ups for"/>
        <s v="Crucial BX500 240GB 3D NAND"/>
        <s v="Classmate Pulse Spiral Notebook -"/>
        <s v="Portronics My buddy plus Adjustable"/>
        <s v="ZEBRONICS Zeb-Evolve Wireless in Ear"/>
        <s v="INOVERA World Map Extended Anti"/>
        <s v="Seagate One Touch 2TB External"/>
        <s v="ZEBRONICS Zeb-Fame 5watts 2.0 Multi"/>
        <s v="TVARA LCD Writing Tablet 8.5"/>
        <s v="Western Digital WD 1.5TB Elements"/>
        <s v="Redgear MP35 Speed-Type Gaming Mousepad"/>
        <s v="Lenovo 400 Wireless Mouse, 1200DPI"/>
        <s v="Logitech K480 Wireless Multi-Device Keyboard"/>
        <s v="RESONATE RouterUPS CRU12V2A | Zero"/>
        <s v="3M Post-it Sticky Note Cube,"/>
        <s v="OFIXO Multi-Purpose Laptop Table/Study Table/Bed"/>
        <s v="Fire-Boltt Ninja Calling 1.69 Bluetooth&quot;"/>
        <s v="Airtel AMF-311WW Data Card (Black),"/>
        <s v="Gizga Essentials Laptop Power Cable"/>
        <s v="Logitech MK270r USB Wireless Keyboard"/>
        <s v="DIGITEK® (DTR-200MT) (18 CM) Portable"/>
        <s v="FEDUS Cat6 Ethernet Cable, 10"/>
        <s v="Kingston DataTraveler Exodia DTX/32 GB"/>
        <s v="Duracell Rechargeable AA 2500mAh Batteries,"/>
        <s v="ENVIE® (AA10004PLNi-CD) AA Rechargeable Batteries,"/>
        <s v="ZEBRONICS Zeb-Buds 30 3.5Mm Stereo"/>
        <s v="LAPSTER Accessories Power Cable Cord"/>
        <s v="Portronics Ruffpad 12E Re-Writable LCD"/>
        <s v="Verilux® USB C Hub Multiport"/>
        <s v="Zebronics Zeb Wonderbar 10 USB"/>
        <s v="HP Wired Mouse 100 with"/>
        <s v="Anjaney Enterprise Smart Multipurpose Foldable"/>
        <s v="ENVIE ECR-20 Charger for AA"/>
        <s v="ProElite Faux Leather Smart Flip"/>
        <s v="Classmate Pulse 6 Subject Notebook"/>
        <s v="Pentonic Multicolor Ball Point Pen,"/>
        <s v="Logitech Pebble M350 Wireless Mouse"/>
        <s v="Apsara Platinum Pencils Value Pack"/>
        <s v="Zebronics Zeb-Power Wired USB Mouse,"/>
        <s v="Ant Esports GM320 RGB Optical"/>
        <s v="Pilot V7 Liquid Ink Roller"/>
        <s v="boAt Airdopes 191G True Wireless"/>
        <s v="Boult Audio BassBuds Oak in-Ear"/>
        <s v="IT2M Designer Mouse Pad for"/>
        <s v="Noise ColorFit Ultra Buzz Bluetooth"/>
        <s v="Lapster Caddy for ssd and"/>
        <s v="SanDisk Extreme SD UHS I"/>
        <s v="Fire-Boltt Ring Pro Bluetooth Calling,"/>
        <s v="Lenovo 600 Bluetooth 5.0 Silent"/>
        <s v="Boult Audio Airbass Propods X"/>
        <s v="LS LAPSTER Quality Assured Universal"/>
        <s v="KLAM LCD Writing Tablet Screenwriting"/>
        <s v="CP PLUS 2MP Full HD"/>
        <s v="HP Deskjet 2331 Colour Printer,"/>
        <s v="D-Link DIR-615 Wi-fi Ethernet-N300 Single_band"/>
        <s v="RPM Euro Games Gaming Mousepad"/>
        <s v="Wacom One by CTL-472/K0-CX Digital"/>
        <s v="Lenovo 300 FHD Webcam with"/>
        <s v="Parker Quink Ink Bottle (Black)"/>
        <s v="Sony WI-C100 Wireless Headphones with"/>
        <s v="Zebronics, ZEB-NC3300 USB Powered Laptop"/>
        <s v="Tukzer Gel Mouse Pad Wrist"/>
        <s v="Infinity (JBL Glide 510, 72"/>
        <s v="Robustrion Smart Trifold Hard Back"/>
        <s v="Logitech M331 Silent Plus Wireless"/>
        <s v="Camel Artist Acrylic Color Box"/>
        <s v="Portronics Key2 Combo Multimedia USB"/>
        <s v="SupCares Laptop Stand 7 Height"/>
        <s v="ZEBRONICS Zeb-Sound Bomb N1 True"/>
        <s v="Western Digital WD Green SATA"/>
        <s v="Classmate Octane Neon- 25 Blue"/>
        <s v="Classmate Octane Colour Burst-Multicolour Gel"/>
        <s v="Tukzer Stylus Pen, iPad Pencil"/>
        <s v="Logitech G102 USB Light Sync"/>
        <s v="Zebronics ZEB-VITA Wireless Bluetooth 10W"/>
        <s v="Lapster USB 3.0 sata Cable"/>
        <s v="URBN 10000 mAh Lithium Power"/>
        <s v="Qubo Smart Cam 360 from"/>
        <s v="Duracell CR2025 3V Lithium Coin"/>
        <s v="Camel Fabrica Acrylic Ultra Color"/>
        <s v="Lenovo GX20L29764 65W Laptop Adapter/Charger"/>
        <s v="Hp Wired On Ear Headphones"/>
        <s v="Redragon K617 Fizz 60% Wired"/>
        <s v="HP GT 53 XL Cartridge"/>
        <s v="Noise ColorFit Ultra Smart Watch"/>
        <s v="Zebronics Zeb-JUKEBAR 3900, 80W Multimedia"/>
        <s v="boAt Bassheads 102 Wired in"/>
        <s v="Duracell CR2016 3V Lithium Coin"/>
        <s v="MI 360° Home Security Wireless"/>
        <s v="ZEBRONICS Zeb-100HB 4 Ports USB"/>
        <s v="Boult Audio Bass Buds Q2"/>
        <s v="ESR Screen Protector Compatible with"/>
        <s v="Parker Vector Standard Chrome Trim"/>
        <s v="Silicone Rubber Earbuds Tips, Eartips,"/>
        <s v="Canon PIXMA MG2577s All-in-One Inkjet"/>
        <s v="Samsung 24-inch(60.46cm) FHD Monitor, IPS,"/>
        <s v="Faber-Castell Connector Pen Set -"/>
        <s v="Zinq UPS for Router, Mini"/>
        <s v="SaleOn™ Portable Storage Organizer Bag"/>
        <s v="RPM Euro Games Laptop/PC Controller"/>
        <s v="realme Buds Wireless in Ear"/>
        <s v="TVARA LCD Writing Tablet, 8.5&quot;,Computers&amp;Accessories,354.00,1500.00,76,4.0,1026_x000a_B09MDCZJXS,Wings Phantom Pro Earphones Gaming&quot;"/>
        <s v="Robustrion [Anti-Scratch] &amp; [Smudge Proof]"/>
        <s v="Cablet 2.5 Inch SATA USB"/>
        <s v="SanDisk 1TB Extreme Portable SSD"/>
        <s v="ZEBRONICS Zeb-Warrior II 10 watts"/>
        <s v="TP-Link UE300C USB Type-C to"/>
        <s v="Wecool Moonwalk M1 ENC True"/>
        <s v="HP 330 Wireless Black Keyboard"/>
        <s v="RC PRINT GI 790 Ink"/>
        <s v="Redgear Cloak Wired RGB Wired"/>
        <s v="Wayona Type C To Type"/>
        <s v="Amazfit GTS2 Mini (New Version)"/>
        <s v="Tabelito® Polyester Foam, Nylon Hybrid"/>
        <s v="Robustrion Anti-Scratch &amp; Smudge Proof"/>
        <s v="Portronics Ruffpad 15 Re-Writable LCD"/>
        <s v="DIGITEK® (DLS-9FT) Lightweight &amp; Portable"/>
        <s v="Classmate Pulse 1 Subject Notebook"/>
        <s v="Scarters Mouse Pad, Desk Mat"/>
        <s v="Casio MJ-120D 150 Steps Check"/>
        <s v="Gizga Essentials Laptop Bag Sleeve"/>
        <s v="Parker Vector Camouflage Gift Set"/>
        <s v="TP-Link AC1200 Archer A6 Smart"/>
        <s v="HP Deskjet 2723 AIO Printer,"/>
        <s v="Xiaomi Mi 4A Dual_Band Ethernet"/>
        <s v="SLOVIC® Tripod Mount Adapter| Tripod"/>
        <s v="Orico 2.5(6.3cm) USB 3.0 HDD&quot;"/>
        <s v="Logitech G402 Hyperion Fury USB"/>
        <s v="Panasonic Eneloop BQ-CC55N Advanced, Smart"/>
        <s v="Logitech K380 Wireless Multi-Device Keyboard"/>
        <s v="Canon PIXMA E477 All-in-One Wireless"/>
        <s v="Redgear Cosmo 7,1 Usb Gaming"/>
        <s v="Belkin Essential Series 4-Socket Surge"/>
        <s v="Classmate Long Book - Unruled,"/>
        <s v="Artis AR-45W-MG2 45 Watts MG2"/>
        <s v="Imou 360° 1080P Full HD"/>
        <s v="E-COSMOS 5V 1.2W Portable Flexible"/>
        <s v="Xiaomi Pad 5| Qualcomm Snapdragon"/>
        <s v="Sennheiser CX 80S in-Ear Wired"/>
        <s v="HB Plus Folding Height Adjustable"/>
        <s v="HP 65W AC Laptops Charger"/>
        <s v="Tukzer Fully Foldable Tabletop Desktop"/>
        <s v="Gizga Essentials Cable Organiser, Cord"/>
        <s v="Camel Oil Pastel with Reusable"/>
        <s v="HP M270 Backlit USB Wired"/>
        <s v="Foxin FTC 12A / Q2612A"/>
        <s v="PC SQUARE Laptop Tabletop Stand/"/>
        <s v="Lenovo 130 Wireless Compact Mouse,"/>
        <s v="Pilot Frixion Clicker Roller Pen"/>
        <s v="ZEBRONICS Aluminium Alloy Laptop Stand,"/>
        <s v="HP K500F Backlit Membrane Wired"/>
        <s v="GIZGA Club-laptop Neoprene Reversible for"/>
        <s v="Inventis 5V 1.2W Portable Flexible"/>
        <s v="TP-Link TL-WA855RE 300 Mbps Wi-Fi"/>
        <s v="boAt Stone 250 Portable Wireless"/>
        <s v="Offbeat® - DASH 2.4GHz Wireless"/>
        <s v="Classmate Drawing Book - Unruled,"/>
        <s v="HP GK320 Wired Full Size"/>
        <s v="Parker Moments Vector Timecheck Gold"/>
        <s v="Camlin Elegante Fountain Pen -"/>
        <s v="CARECASE® Optical Bay 2nd Hard"/>
        <s v="Canon E4570 All-in-One Wi-Fi Ink"/>
        <s v="Crucial P3 500GB PCIe 3.0"/>
        <s v="HP v222w 64GB USB 2.0"/>
        <s v="Duracell Ultra Alkaline D Battery,"/>
        <s v="BESTOR® LCD Writing Tablet/pad 12"/>
        <s v="Lenovo IdeaPad 3 11th Gen"/>
        <s v="boAt BassHeads 900 On-Ear Wired"/>
        <s v="Zebronics Astra 10 Portable Wireless"/>
        <s v="SWAPKART Portable Flexible Adjustable Eye"/>
        <s v="Infinity (JBL Fuze 100, Wireless"/>
        <s v="USHA Quartz Room Heater with"/>
        <s v="Amazon Brand - Solimo 2000/1000"/>
        <s v="StyleHouse Lint Remover for Woolen"/>
        <s v="beatXP Kitchen Scale Multipurpose Portable"/>
        <s v="Glun Multipurpose Portable Electronic Digital"/>
        <s v="Pigeon Polypropylene Mini Handy and"/>
        <s v="Prestige 1.5 Litre Kettle 1500-watts,"/>
        <s v="Bajaj RHX-2 800-Watt Room Heater"/>
        <s v="Prestige Electric Kettle PKOSS -"/>
        <s v="Pigeon by Stovekraft Cruise 1800"/>
        <s v="Prestige PKGSS 1.7L 1500W Electric"/>
        <s v="SHOPTOSHOP Electric Lint Remover, Best"/>
        <s v="Orpat OEH-1260 2000-Watt Fan Heater"/>
        <s v="PRO365 Indo Mocktails/Coffee Foamer/Cappuccino/Lemonade/Milk Frother"/>
        <s v="Bajaj DX-6 1000W Dry Iron"/>
        <s v="Croma 500W Mixer Grinder with"/>
        <s v="Havells Instanio 3-Litre Instant Geyser"/>
        <s v="Morphy Richards OFR Room Heater,"/>
        <s v="Havells Aqua Plus 1.2 litre"/>
        <s v="Bajaj Splendora 3 Litre 3KW"/>
        <s v="KENT 16052 Elegant Electric Glass"/>
        <s v="Bajaj New Shakti Neo 15L"/>
        <s v="Lifelong LLMG23 Power Pro 500-Watt"/>
        <s v="Bajaj Majesty DX-11 1000W Dry"/>
        <s v="Bajaj Rex 500W Mixer Grinder"/>
        <s v="Lifelong LLEK15 Electric Kettle 1.5L"/>
        <s v="Lifelong LLQH922 Regalia 800 W"/>
        <s v="R B Nova Lint/Fabric Shaver"/>
        <s v="Bajaj Immersion Rod Water Heater"/>
        <s v="INALSA Electric Kettle 1.5 Litre"/>
        <s v="Prestige PIC 20 1600 Watt"/>
        <s v="Pigeon Healthifry Digital Air Fryer,"/>
        <s v="Philips GC1905 1440-Watt Steam Iron"/>
        <s v="Havells Immersion HB15 1500 Watt"/>
        <s v="AGARO LR2007 Lint Remover, Rechargeable,"/>
        <s v="Pigeon 1.5 litre Hot Kettle"/>
        <s v="NutriPro Juicer Mixer Grinder -"/>
        <s v="Philips GC026/30 Fabric Shaver, Lint"/>
        <s v="Havells Cista Room Heater, White,"/>
        <s v="AGARO Regal 800 Watts Handheld"/>
        <s v="Philips Viva Collection HD4928/01 2100-Watt"/>
        <s v="Pigeon By Stovekraft ABS Plastic"/>
        <s v="AGARO Esteem Multi Kettle 1.2"/>
        <s v="Bajaj Minor 1000 Watts Radiant"/>
        <s v="Butterfly Jet Elite Mixer Grinder,"/>
        <s v="SOFLIN Egg Boiler Electric Automatic"/>
        <s v="Lifelong LLQH925 Dyno Quartz Heater"/>
        <s v="Amazon Basics 1500 W Electric"/>
        <s v="Prestige Sandwich Maker PGMFD 01,"/>
        <s v="Orient Electric Fabrijoy DIFJ10BP 1000-Watt"/>
        <s v="Lifelong LLFH921 Regalia 2000 W"/>
        <s v="Philips GC181 Heavy Weight 1000-Watt"/>
        <s v="Bulfyss USB Rechargeable Lint Remover"/>
        <s v="Bajaj DX-7 1000W Dry Iron"/>
        <s v="Bajaj New Shakti Neo 25L"/>
        <s v="PHILIPS Handheld Garment Steamer STH3000/20"/>
        <s v="Room Heater Warmer Wall-Outlet 400"/>
        <s v="Wonderchef Nutri-blend Mixer, Grinder &amp;"/>
        <s v="USHA Armor AR1100WB 1100 W"/>
        <s v="Butterfly EKN 1.5-Litre Electric Kettle"/>
        <s v="Crompton Arno Neo 15-L 5"/>
        <s v="Borosil Chef Delite BCH20DBB21 300-Watt"/>
        <s v="KENT 16055 Amaze Cool Touch"/>
        <s v="Prestige IRIS Plus 750 watt"/>
        <s v="Simxen Egg Boiler Electric Automatic"/>
        <s v="Amazon Basics 2000/1000 Watt Room"/>
        <s v="HealthSense Weight Machine for Kitchen,"/>
        <s v="Bajaj New Shakti Neo 10L"/>
        <s v="Bosch Pro 1000W Mixer Grinder"/>
        <s v="Bulfyss Stainless Steel Digital Kitchen"/>
        <s v="VR 18 Pcs - 3"/>
        <s v="Orient Electric Apex-FX 1200mm Ultra"/>
        <s v="PrettyKrafts Folding Laundry Basket for"/>
        <s v="Bajaj Majesty RX11 2000 Watts"/>
        <s v="Eureka Forbes Trendy Zip 1000"/>
        <s v="Pigeon by Stovekraft Quartz Electric"/>
        <s v="Maharaja Whiteline Lava Neo 1200-Watts"/>
        <s v="Crompton Gracee 5-L Instant Water"/>
        <s v="Bajaj DX-2 600W Dry Iron"/>
        <s v="Bajaj Waterproof 1500 Watts Immersion"/>
        <s v="AGARO Supreme High Pressure Washer,"/>
        <s v="Bajaj Deluxe 2000 Watts Halogen"/>
        <s v="Orpat HHB-100E WOB 250-Watt Hand"/>
        <s v="GILTON Egg Boiler Electric Automatic"/>
        <s v="HealthSense Chef-Mate KS 33 Digital"/>
        <s v="PHILIPS Digital Air Fryer HD9252/90"/>
        <s v="Milton Go Electro 2.0 Stainless"/>
        <s v="Philips Daily Collection HD2582/00 830-Watt"/>
        <s v="Crompton Insta Comfy 800 Watt"/>
        <s v="USHA Heat Convector 812 T"/>
        <s v="Philips HL7756/00 Mixer Grinder, 750W,"/>
        <s v="Kuber Industries Waterproof Round Non"/>
        <s v="Lifelong LLMG93 500 Watt Duos"/>
        <s v="IKEA Frother for Milk"/>
        <s v="Crompton Insta Comfort Heater 2000"/>
        <s v="Lint Remover Woolen Clothes Lint"/>
        <s v="Pigeon Kessel Multipurpose Kettle (12173)"/>
        <s v="C (DEVICE) Lint Remover for"/>
        <s v="Pigeon by Stovekraft 2 Slice"/>
        <s v="Bajaj OFR Room Heater, 13"/>
        <s v="Luminous Vento Deluxe 150 mm"/>
        <s v="Wipro Vesta 1.8 litre Cool"/>
        <s v="Kitchen Mart Stainless Steel South"/>
        <s v="Ikea 903.391.72 Polypropylene Plastic Solid"/>
        <s v="Prestige Iris 750 Watt Mixer"/>
        <s v="Preethi Blue Leaf Diamond MG-214"/>
        <s v="Themisto 350 Watts Egg Boiler-Blue"/>
        <s v="Butterfly Smart Mixer Grinder, 750W,"/>
        <s v="KENT Smart Multi Cooker Cum"/>
        <s v="InstaCuppa Portable Blender for Smoothie,"/>
        <s v="USHA EI 1602 1000 W"/>
        <s v="KENT 16044 Hand Blender Stainless"/>
        <s v="White Feather Portable Heat Sealer"/>
        <s v="Crompton IHL 152 1500-Watt Immersion"/>
        <s v="InstaCuppa Rechargeable Mini Electric Chopper"/>
        <s v="Philips PowerPro FC9352/01 Compact Bagless"/>
        <s v="SAIELLIN Electric Lint Remover for"/>
        <s v="Cookwell Bullet Mixer Grinder (5"/>
        <s v="Prestige PRWO 1.8-2 700-Watts Delight"/>
        <s v="Swiffer Instant Electric Water Heater"/>
        <s v="Lifelong LLWH106 Flash 3 Litres"/>
        <s v="Hindware Atlantic Compacto 3 Litre"/>
        <s v="ATOM Selves-MH 200 GM Digital"/>
        <s v="Crompton InstaBliss 3-L Instant Water"/>
        <s v="Croma 1100 W Dry Iron"/>
        <s v="Lint Roller with 40 Paper"/>
        <s v="Portable Lint Remover Pet Fur"/>
        <s v="atomberg Renesa 1200mm BLDC Motor"/>
        <s v="Pigeon by Stovekraft Amaze Plus"/>
        <s v="Usha CookJoy (CJ1600WPC) 1600 Watt"/>
        <s v="Reffair AX30 [MAX] Portable Air"/>
        <s v="!!1000 Watt/2000-Watt Room Heater!! Fan"/>
        <s v="Eureka Forbes Wet &amp; Dry"/>
        <s v="Activa Heat-Max 2000 Watts Room"/>
        <s v="PHILIPS HL1655/00 Hand Blender, White"/>
        <s v="V-Guard Zio Instant Water Geyser"/>
        <s v="Homeistic Applience™ Instant Electric Water"/>
        <s v="Kitchenwell 18Pc Plastic Food Snack"/>
        <s v="Havells Instanio 10 Litre Storage"/>
        <s v="Prestige PIC 16.0+ 1900W Induction"/>
        <s v="AGARO 33398 Rapid 1000-Watt, 10-Litre"/>
        <s v="KENT 16026 Electric Kettle Stainless"/>
        <s v="SKYTONE Stainless Steel Electric Meat"/>
        <s v="KENT 16088 Vogue Electric Kettle"/>
        <s v="Eureka Forbes Supervac 1600 Watts"/>
        <s v="Mi Air Purifier 3 with"/>
        <s v="Tata Swach Bulb 6000-Litre Cartridge,"/>
        <s v="PrettyKrafts Laundry Bag / Basket"/>
        <s v="FABWARE Lint Remover for Clothes"/>
        <s v="Brayden Fito Atom Rechargeable Smoothie"/>
        <s v="Bajaj Frore 1200 mm Ceiling"/>
        <s v="Venus Digital Kitchen Weighing Scale"/>
        <s v="Bajaj ATX 4 750-Watt Pop-up"/>
        <s v="Coway Professional Air Purifier for"/>
        <s v="KENT Gold Optima Gravity Water"/>
        <s v="HOMEPACK 750W Radiant Room Home"/>
        <s v="Bajaj Rex 750W Mixer Grinder"/>
        <s v="Heart Home Waterproof Round Non"/>
        <s v="MILTON Smart Egg Boiler 360-Watts"/>
        <s v="iBELL SEK15L Premium 1.5 Litre"/>
        <s v="Tosaa T2STSR Sandwich Gas Toaster"/>
        <s v="V-Guard Divino 5 Star Rated"/>
        <s v="Akiara® - Makes life easy"/>
        <s v="Usha Steam Pro SI 3713,"/>
        <s v="Wonderchef Nutri-blend Complete Kitchen Machine"/>
        <s v="WIDEWINGS Electric Handheld Milk Wand"/>
        <s v="Morphy Richards Icon Superb 750W"/>
        <s v="Philips Handheld Garment Steamer GC360/30"/>
        <s v="Vedini Transparent Empty Refillable Reusable"/>
        <s v="Crompton Sea Sapphira 1200 mm"/>
        <s v="Kuber Industries Waterproof Canvas Laundry"/>
        <s v="JM SELLER 180 W 2021"/>
        <s v="Oratech Coffee Frother electric, milk"/>
        <s v="Havells Glaze 74W Pearl Ivory"/>
        <s v="Pick Ur Needs® Lint Remover"/>
        <s v="Rico Japanese Technology Rechargeable Wireless"/>
        <s v="Butterfly Smart Wet Grinder, 2L"/>
        <s v="AGARO Marvel 9 Liters Oven"/>
        <s v="Philips GC1920/28 1440-Watt Non-Stick Soleplate"/>
        <s v="Havells OFR 13 Wave Fin"/>
        <s v="Bajaj DHX-9 1000W Heavy Weight"/>
        <s v="Aquasure From Aquaguard Amaze RO+UV+MTDS,7L"/>
        <s v="ROYAL STEP Portable Electric USB"/>
        <s v="KENT 16068 Zoom Vacuum Cleaner"/>
        <s v="ENEM Sealing Machine | 12"/>
        <s v="Wipro Vesta 1200 Watt GD203"/>
        <s v="Inalsa Electric Kettle Prism Inox"/>
        <s v="VRPRIME Lint Roller Lint Remover"/>
        <s v="Philips AC1215/20 Air purifier, removes"/>
        <s v="Eopora PTC Ceramic Fast Heating"/>
        <s v="Usha Goliath GO1200WG Heavy Weight"/>
        <s v="Wipro Vesta Electric Egg Boiler,"/>
        <s v="Philips Viva Collection HR1832/00 1.5-Litre400-Watt"/>
        <s v="Kitchenwell Multipurpose Portable Electronic Digital"/>
        <s v="FIGMENT Handheld Milk Frother Rechargeable,"/>
        <s v="Balzano High Speed Nutri Blender/Mixer/Smoothie"/>
        <s v="Swiss Military VC03 Wireless Car"/>
        <s v="Zuvexa USB Rechargeable Electric Foam"/>
        <s v="Usha IH2415 1500-Watt Immersion Heater"/>
        <s v="ACTIVA Instant 3 LTR 3"/>
        <s v="Havells Instanio 1-Litre 3KW Instant"/>
        <s v="Lifelong 2-in1 Egg Boiler and"/>
        <s v="INDIAS®™ Electro-Instant Water Geyser A.B.S."/>
        <s v="AmazonBasics Induction Cooktop 1600 Watt"/>
        <s v="Sui Generis Electric Handheld Milk"/>
        <s v="Philips Air Purifier Ac2887/20,Vitashield Intelligent"/>
        <s v="Esquire Laundry Basket Brown, 50"/>
        <s v="PHILIPS Air Fryer HD9200/90, uses"/>
        <s v="Havells Bero Quartz Heater Black"/>
        <s v="Philips EasyTouch Plus Standing Garment"/>
        <s v="Brayden Chopro, Electric Vegetable Chopper"/>
        <s v="Usha Janome Dream Stitch Automatic"/>
        <s v="Black+Decker Handheld Portable Garment Steamer"/>
        <s v="Personal Size Blender, Portable Blender,"/>
        <s v="Sujata Powermatic Plus 900 Watts"/>
        <s v="Sure From Aquaguard Delight NXT"/>
        <s v="PrettyKrafts Laundry Basket for clothes"/>
        <s v="Dr Trust Electronic Kitchen Digital"/>
        <s v="Tesora - Inspired by you"/>
        <s v="AGARO Ace 1600 Watts, 21.5"/>
        <s v="INALSA Hand Blender 1000 Watt"/>
        <s v="akiara - Makes life easy"/>
        <s v="INALSA Electric Chopper Bullet- 400"/>
        <s v="Borosil Electric Egg Boiler, 8"/>
        <s v="Wipro Vesta Grill 1000 Watt"/>
        <s v="Rico IRPRO 1500 Watt Japanese"/>
        <s v="Eureka Forbes Active Clean 700"/>
        <s v="Hindware Atlantic Xceed 5L 3kW"/>
        <s v="Morphy Richards New Europa 800-Watt"/>
        <s v="Lifelong Power - Pro 500"/>
        <s v="iBELL Castor CTEK15L Premium 1.5"/>
        <s v="BAJAJ PYGMY MINI 110 MM"/>
        <s v="Crompton InstaGlide 1000-Watts Dry Iron"/>
        <s v="Prestige Clean Home Water Purifier"/>
        <s v="Morphy Richards Aristo 2000 Watts"/>
        <s v="Gadgetronics Digital Kitchen Weighing Scale"/>
        <s v="HUL Pureit Germkill kit for"/>
        <s v="Tom &amp; Jerry Folding Laundry"/>
        <s v="Ikea Little Loved Corner PRODUKT"/>
        <s v="Philips EasySpeed Plus Steam Iron"/>
        <s v="Bajaj New Shakti Neo Plus"/>
        <s v="House of Quirk Reusable Sticky"/>
        <s v="Allin Exporters J66 Ultrasonic Humidifier"/>
        <s v="Multifunctional 2 in 1 Electric"/>
        <s v="Maharaja Whiteline Nano Carbon Neo,"/>
        <s v="KENT Electric Chopper-B for Kitchen"/>
        <s v="Crompton Amica 15-L 5 Star"/>
        <s v="Eureka Forbes car Vac 100"/>
        <s v="KENT 16025 Sandwich Grill 700W"/>
        <s v="Candes Gloster All in One"/>
        <s v="Inalsa Electric Fan Heater Hotty"/>
        <s v="Havells Zella Flap Auto Immersion"/>
        <s v="iBELL SM1301 3-in-1 Sandwich Maker"/>
        <s v="Inalsa Vacuum Cleaner Wet and"/>
        <s v="MR. BRAND Portable USB Juicer"/>
        <s v="Crompton Hill Briz Deco 1200mm"/>
        <s v="Aquadpure Copper + Mineral RO+UV+UF"/>
        <s v="Amazon Basics 650 Watt Drip"/>
        <s v="Crompton Insta Delight Fan Circulator"/>
        <s v="!!HANEUL!!1000 Watt/2000-Watt Room Heater!! Fan"/>
        <s v="Melbon VM-905 2000-Watt Room Heater"/>
        <s v="Cello Eliza Plastic Laundry Bag/Basket,"/>
        <s v="ACTIVA 1200 MM HIGH SPEED"/>
        <s v="Shakti Technology S5 High Pressure"/>
        <s v="AMERICAN MICRONIC- Imported Wet &amp;"/>
        <s v="Demokrazy New Nova Lint Cum"/>
        <s v="Instant Pot Air Fryer, Vortex"/>
        <s v="HUL Pureit Eco Water Saver"/>
        <s v="Livpure Glo Star RO+UV+UF+Mineraliser -"/>
        <s v="Philips Hi113 1000-Watt Plastic Body"/>
        <s v="Kuber Industries Round Non Woven"/>
        <s v="Preethi MGA-502 0.4-Litre Grind and"/>
        <s v="Usha Aurora 1000 W Dry"/>
        <s v="ECOVACS DEEBOT N8 2-in-1 Robotic"/>
        <s v="Kent Gold, Optima, Gold+ Spare"/>
        <s v="AVNISH Tap Water Purifier Filter"/>
        <s v="Khaitan ORFin Fan heater for"/>
        <s v="USHA RapidMix 500-Watt Copper Motor"/>
        <s v="CSI INTERNATIONAL® Instant Water Geyser,"/>
        <s v="Havells Gatik Neo 400mm Pedestal"/>
        <s v="INALSA Upright Vacuum Cleaner, 2-in-1,Handheld"/>
        <s v="ROYAL STEP - AMAZON'S BRAND"/>
        <s v="Nirdambhay Mini Bag Sealer, 2"/>
        <s v="Cello Non-Stick Aluminium Sandwich Gas"/>
        <s v="Proven® Copper + Mineral RO+UV+UF"/>
        <s v="Morphy Richards Daisy 1000W Dry"/>
        <s v="Wipro Vesta 1200 Watt GD201"/>
        <s v="Zuvexa Egg Boiler Poacher Automatic"/>
        <s v="AO Smith HSE-VAS-X-015 Storage 15"/>
        <s v="Havells Festiva 1200mm Dust Resistant"/>
        <s v="INALSA Vaccum Cleaner Handheld 800W"/>
        <s v="iBELL SM1515NEW Sandwich Maker with"/>
        <s v="Aquaguard Aura RO+UV+UF+Taste Adjuster(MTDS) with"/>
        <s v="Havells Instanio 3-Litre 4.5KW Instant"/>
        <s v="Milk Frother, Immersion Blender Cordlesss"/>
        <s v="Panasonic SR-WA22H (E) Automatic Rice"/>
        <s v="InstaCuppa Milk Frother for Coffee"/>
        <s v="Goodscity Garment Steamer for Clothes,"/>
        <s v="Solidaire 550-Watt Mixer Grinder with"/>
        <s v="Amazon Basics 300 W Hand"/>
        <s v="Orpat HHB-100E 250-Watt Hand Blender"/>
        <s v="HealthSense Rechargeable Lint Remover for"/>
        <s v="AGARO Classic Portable Yogurt Maker,"/>
        <s v="AGARO Imperial 240-Watt Slow Juicer"/>
        <s v="Wipro Smartlife Super Deluxe Dry"/>
        <s v="AmazonBasics Cylinder Bagless Vacuum Cleaner"/>
        <s v="Crompton IHL 251 1500-Watt Immersion"/>
        <s v="SaiEllin Room Heater For Home"/>
        <s v="Bajaj Majesty Duetto Gas 6"/>
        <s v="Black + Decker BD BXIR2201IN"/>
        <s v="Inalsa Hand Blender| Hand Mixer|Beater"/>
        <s v="Longway Blaze 2 Rod Quartz"/>
        <s v="Prestige PWG 07 Wet Grinder,"/>
        <s v="Pigeon Zest Mixer Grinder 3"/>
        <s v="Borosil Volcano 13 Fin Oil"/>
        <s v="Crompton Solarium Qube 15-L 5"/>
        <s v="Singer Aroma 1.8 Liter Electric"/>
        <s v="Orient Electric Aura Neo Instant"/>
        <s v="Crompton Brio 1000-Watts Dry Iron"/>
        <s v="Butterfly Hero Mixer Grinder, 500W,"/>
        <s v="Racold Eterno Pro 25L Vertical"/>
        <s v="LG 1.5 Ton 5 Star"/>
        <s v="Eureka Forbes Aquasure Amrit Twin"/>
        <s v="Green Tales Heat Seal Mini"/>
        <s v="SaleOn Instant Coal Heater 500W"/>
        <s v="Sujata Chutney Steel Jar, 400"/>
        <s v="KHAITAN AVAANTE KA-2013 1200 Watt"/>
        <s v="Kenstar 2400 Watts 9 Fins"/>
        <s v="NEXOMS Instant Heating Water Tap"/>
        <s v="JIALTO Mini Waffle Maker 4"/>
        <s v="Candes BlowHot All in One"/>
        <s v="Ionix Jewellery Scale | Weight"/>
        <s v="Kitchen Kit Electric Kettle, 1.8L"/>
        <s v="Racold Pronto Pro 3Litres 3KW"/>
        <s v="ESN 999 Supreme Quality 1500W"/>
        <s v="Pajaka® South Indian Filter Coffee"/>
        <s v="Saiyam Stainless Steel Espresso Maker"/>
        <s v="KONVIO NEER 10 Inch Spun"/>
        <s v="Havells Glydo 1000 watt Dry"/>
        <s v="Raffles Premium Stainless Steel South"/>
        <s v="IONIX Activated Carbon Faucet Water"/>
        <s v="KNYUC MART Mini Electric Handy"/>
        <s v="INKULTURE Stainless_Steel Measuring Cups &amp;"/>
        <s v="Macmillan Aquafresh 5 Micron PS-05"/>
        <s v="Havells D'zire 1000 watt Dry"/>
        <s v="TE™ Instant Electric Heating Hot"/>
        <s v="ZIGMA WinoteK WinoteK Sun Instant"/>
        <s v="KENT 11054 Alkaline Water Filter"/>
        <s v="Sujata Dynamix DX Mixer Grinder,"/>
        <s v="Lifelong LLMG74 750 Watt Mixer"/>
        <s v="TTK Prestige Limited Orion Mixer"/>
        <s v="AGARO Regal Electric Rice Cooker,"/>
        <s v="VAPJA® Portable Mini Juicer Cup"/>
        <s v="Philips HD6975/00 25 Litre Digital"/>
        <s v="Usha EI 3710 Heavy Weight"/>
        <s v="Campfire Spring Chef Prolix Instant"/>
        <s v="Themisto TH-WS20 Digital Kitchen Weighing"/>
        <s v="FYA Handheld Vacuum Cleaner Cordless,"/>
        <s v="Lifelong LLSM120G Sandwich Griller ,"/>
        <s v="Kuber Industries Nylon Mesh Laundry"/>
        <s v="Bulfyss Plastic Sticky Lint Roller"/>
        <s v="T TOPLINE 180 W Electric"/>
        <s v="Empty Mist Trigger Plastic Spray"/>
        <s v="LONAXA Mini Travel Rechargeable Fruit"/>
        <s v="SUJATA Powermatic Plus, Juicer Mixer"/>
        <s v="AGARO Royal Double Layered Kettle,"/>
        <s v="Cafe JEI French Press Coffee"/>
        <s v="Borosil Prime Grill Sandwich Maker"/>
        <s v="Candes 10 Litre Perfecto 5"/>
        <s v="Prestige PSMFB 800 Watt Sandwich"/>
        <s v="iBELL MPK120L Premium Stainless Steel"/>
        <s v="Maharaja Whiteline Odacio Plus 550-Watt"/>
        <s v="Shakti Technology S3 High Pressure"/>
        <s v="Cello Quick Boil Popular Electric"/>
        <s v="AGARO Glory Cool Mist Ultrasonic"/>
        <s v="Wolpin 1 Lint Roller with"/>
        <s v="Abode Kitchen Essential Measuring Cup"/>
        <s v="Sujata Supermix, Mixer Grinder, 900"/>
        <s v="CARDEX Digital Kitchen Weighing Machine"/>
        <s v="V-Guard Zenora RO+UF+MB Water Purifier"/>
        <s v="Bajaj Rex DLX 750 W"/>
        <s v="KENT 16051 Hand Blender 300"/>
        <s v="Prestige PIC 15.0+ 1900-Watt Induction"/>
        <s v="Aqua d pure Active Copper"/>
        <s v="PrettyKrafts Laundry Square Shape Basket"/>
        <s v="Libra Roti Maker Electric Automatic"/>
        <s v="Glen 3 in 1 Electric"/>
        <s v="Dynore Stainless Steel Set of"/>
        <s v="Lint Remover For Clothes With"/>
        <s v="Monitor AC Stand/Heavy Duty Air"/>
        <s v="iBELL Induction Cooktop, 2000W with"/>
        <s v="KENT POWP-Sediment Filter 10'' Thread"/>
        <s v="LACOPINE Mini Pocket Size Lint"/>
        <s v="iBELL SEK170BM Premium Electric Kettle,"/>
        <s v="Activa Easy Mix Nutri Mixer"/>
        <s v="Sujata Dynamix, Mixer Grinder, 900"/>
        <s v="Wipro Vesta 1380W Cordless Steam"/>
        <s v="Mi Robot Vacuum-Mop P, Best-in-class"/>
        <s v="Havells Ventil Air DX 200mm"/>
        <s v="AGARO Royal Stand 1000W Mixer"/>
        <s v="Crompton Highspeed Markle Prime 1200"/>
        <s v="Lifelong LLWM105 750-Watt Belgian Waffle"/>
        <s v="Kuber Industries Waterproof Round Laundry"/>
        <s v="Portable, Handy Compact Plug-in Portable"/>
        <s v="Karcher WD3 EU Wet and"/>
        <s v="INALSA Air Fryer Digital 4L"/>
        <s v="AmazonBasics High Speed 55 Watt"/>
        <s v="Eco Crystal J 5 inch"/>
        <s v="Borosil Rio 1.5 L Electric"/>
        <s v="Havells Ambrose 1200mm Ceiling Fan"/>
        <s v="PHILIPS Drip Coffee Maker HD7432/20,"/>
        <s v="Eureka Forbes Euroclean Paper Vacuum"/>
        <s v="Larrito wooden Cool Mist Humidifiers"/>
        <s v="Hilton Quartz Heater 400/800-Watt ISI"/>
        <s v="Syska SDI-07 1000 W Stellar"/>
        <s v="IKEA Milk Frother for Your"/>
        <s v="IONIX Tap filter Multilayer |"/>
        <s v="Kitchengenix's Mini Waffle Maker 4"/>
        <s v="Bajaj HM-01 Powerful 250W Hand"/>
        <s v="KNOWZA Electric Handheld Milk Wand"/>
        <s v="Usha Hc 812 T Thermo"/>
        <s v="USHA 1212 PTC with Adjustable"/>
        <s v="4 in 1 Handheld Electric"/>
        <s v="Philips HD9306/06 1.5-Litre Electric Kettle"/>
        <s v="Libra Room Heater for Home,"/>
        <s v="NGI Store 2 Pieces Pet"/>
        <s v="Noir Aqua - 5pcs PP"/>
        <s v="Prestige Delight PRWO Electric Rice"/>
        <s v="Bajaj Majesty RX10 2000 Watts"/>
        <s v="Havells Ventil Air DSP 230mm"/>
        <s v="Borosil Jumbo 1000-Watt Grill Sandwich"/>
        <s v="Amazon Basics High-Speed HDMI Cable" u="1"/>
      </sharedItems>
    </cacheField>
    <cacheField name="category" numFmtId="0">
      <sharedItems count="9">
        <s v="Computers&amp;Accessories"/>
        <s v="Electronics"/>
        <s v="MusicalInstruments"/>
        <s v="OfficeProducts"/>
        <s v="Home&amp;Kitchen"/>
        <s v="HomeImprovement"/>
        <s v="Toys&amp;Games"/>
        <s v="Car&amp;Motorbike"/>
        <s v="Health&amp;PersonalCare"/>
      </sharedItems>
    </cacheField>
    <cacheField name="discounted_price" numFmtId="0">
      <sharedItems containsSemiMixedTypes="0" containsString="0" containsNumber="1" containsInteger="1" minValue="39" maxValue="365766"/>
    </cacheField>
    <cacheField name="actual_price" numFmtId="165">
      <sharedItems containsSemiMixedTypes="0" containsString="0" containsNumber="1" containsInteger="1" minValue="39" maxValue="433296"/>
    </cacheField>
    <cacheField name="discount" numFmtId="0">
      <sharedItems containsSemiMixedTypes="0" containsString="0" containsNumber="1" containsInteger="1" minValue="0" maxValue="94"/>
    </cacheField>
    <cacheField name="rating" numFmtId="0">
      <sharedItems containsString="0" containsBlank="1" containsNumber="1" minValue="2" maxValue="5"/>
    </cacheField>
    <cacheField name="rating_count" numFmtId="0">
      <sharedItems containsString="0" containsBlank="1" containsNumber="1" containsInteger="1" minValue="2" maxValue="426973"/>
    </cacheField>
    <cacheField name="price_range" numFmtId="0">
      <sharedItems count="3">
        <s v="mid(500-2000)"/>
        <s v="premium"/>
        <s v="budget&lt;500"/>
      </sharedItems>
    </cacheField>
  </cacheFields>
  <extLst>
    <ext xmlns:x14="http://schemas.microsoft.com/office/spreadsheetml/2009/9/main" uri="{725AE2AE-9491-48be-B2B4-4EB974FC3084}">
      <x14:pivotCacheDefinition pivotCacheId="317967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1">
  <r>
    <s v="B008IFXQFU"/>
    <x v="0"/>
    <x v="0"/>
    <n v="499"/>
    <n v="999"/>
    <n v="50"/>
    <n v="4.2"/>
    <n v="179691"/>
    <x v="0"/>
  </r>
  <r>
    <s v="B0B1YVCJ2Y"/>
    <x v="1"/>
    <x v="1"/>
    <n v="11499"/>
    <n v="19990"/>
    <n v="42"/>
    <n v="4.3"/>
    <n v="4703"/>
    <x v="1"/>
  </r>
  <r>
    <s v="B08B42LWKN"/>
    <x v="2"/>
    <x v="1"/>
    <n v="14999"/>
    <n v="19999"/>
    <n v="25"/>
    <n v="4.2"/>
    <n v="34899"/>
    <x v="1"/>
  </r>
  <r>
    <s v="B0B3MMYHYW"/>
    <x v="3"/>
    <x v="1"/>
    <n v="32999"/>
    <n v="45999"/>
    <n v="28"/>
    <n v="4.2"/>
    <n v="7298"/>
    <x v="1"/>
  </r>
  <r>
    <s v="B09JPC82QC"/>
    <x v="4"/>
    <x v="1"/>
    <n v="19999"/>
    <n v="34999"/>
    <n v="43"/>
    <n v="4.3"/>
    <n v="27151"/>
    <x v="1"/>
  </r>
  <r>
    <s v="B07JW1Y6XV"/>
    <x v="5"/>
    <x v="0"/>
    <n v="399"/>
    <n v="1099"/>
    <n v="64"/>
    <n v="4.2"/>
    <n v="24269"/>
    <x v="0"/>
  </r>
  <r>
    <s v="B09NJN8L25"/>
    <x v="6"/>
    <x v="0"/>
    <n v="59"/>
    <n v="199"/>
    <n v="70"/>
    <n v="4"/>
    <n v="9378"/>
    <x v="2"/>
  </r>
  <r>
    <s v="B014I8SSD0"/>
    <x v="7"/>
    <x v="1"/>
    <n v="309"/>
    <n v="475"/>
    <n v="35"/>
    <n v="4.4000000000000004"/>
    <n v="426973"/>
    <x v="2"/>
  </r>
  <r>
    <s v="B09L8DSSFH"/>
    <x v="8"/>
    <x v="1"/>
    <n v="399"/>
    <n v="999"/>
    <n v="60"/>
    <n v="3.6"/>
    <n v="493"/>
    <x v="0"/>
  </r>
  <r>
    <s v="B0711PVX6Z"/>
    <x v="9"/>
    <x v="0"/>
    <n v="179"/>
    <n v="500"/>
    <n v="64"/>
    <n v="4.2"/>
    <n v="92595"/>
    <x v="0"/>
  </r>
  <r>
    <s v="B07MKFNHKG"/>
    <x v="10"/>
    <x v="1"/>
    <n v="6999"/>
    <n v="12999"/>
    <n v="46"/>
    <n v="4.2"/>
    <n v="4003"/>
    <x v="1"/>
  </r>
  <r>
    <s v="B01N90RZ4M"/>
    <x v="11"/>
    <x v="1"/>
    <n v="230"/>
    <n v="499"/>
    <n v="54"/>
    <n v="3.7"/>
    <n v="2960"/>
    <x v="2"/>
  </r>
  <r>
    <s v="B0088TKTY2"/>
    <x v="12"/>
    <x v="0"/>
    <n v="649"/>
    <n v="1399"/>
    <n v="54"/>
    <n v="4.2"/>
    <n v="179691"/>
    <x v="0"/>
  </r>
  <r>
    <s v="B07B275VN9"/>
    <x v="13"/>
    <x v="1"/>
    <n v="179"/>
    <n v="799"/>
    <n v="78"/>
    <n v="3.7"/>
    <n v="2201"/>
    <x v="0"/>
  </r>
  <r>
    <s v="B07966M8XH"/>
    <x v="14"/>
    <x v="1"/>
    <n v="1599"/>
    <n v="2999"/>
    <n v="47"/>
    <n v="4.2"/>
    <n v="2727"/>
    <x v="1"/>
  </r>
  <r>
    <s v="B09RFC46VP"/>
    <x v="15"/>
    <x v="1"/>
    <n v="26999"/>
    <n v="42999"/>
    <n v="37"/>
    <n v="4.2"/>
    <n v="45238"/>
    <x v="1"/>
  </r>
  <r>
    <s v="B07LGT55SJ"/>
    <x v="16"/>
    <x v="0"/>
    <n v="399"/>
    <n v="1099"/>
    <n v="64"/>
    <n v="4.2"/>
    <n v="24269"/>
    <x v="0"/>
  </r>
  <r>
    <s v="B09NKZXMWJ"/>
    <x v="17"/>
    <x v="0"/>
    <n v="139"/>
    <n v="249"/>
    <n v="44"/>
    <n v="4"/>
    <n v="9378"/>
    <x v="2"/>
  </r>
  <r>
    <s v="B08QX1CC14"/>
    <x v="18"/>
    <x v="1"/>
    <n v="7299"/>
    <n v="19125"/>
    <n v="62"/>
    <n v="3.4"/>
    <n v="902"/>
    <x v="1"/>
  </r>
  <r>
    <s v="B0B1YZX72F"/>
    <x v="19"/>
    <x v="1"/>
    <n v="27999"/>
    <n v="40990"/>
    <n v="32"/>
    <n v="4.3"/>
    <n v="4703"/>
    <x v="1"/>
  </r>
  <r>
    <s v="B092BJMT8Q"/>
    <x v="20"/>
    <x v="1"/>
    <n v="30990"/>
    <n v="52900"/>
    <n v="41"/>
    <n v="4.3"/>
    <n v="7109"/>
    <x v="1"/>
  </r>
  <r>
    <s v="B07JH1C41D"/>
    <x v="21"/>
    <x v="0"/>
    <n v="649"/>
    <n v="1999"/>
    <n v="68"/>
    <n v="4.2"/>
    <n v="24269"/>
    <x v="0"/>
  </r>
  <r>
    <s v="B09Q5P2MT3"/>
    <x v="22"/>
    <x v="1"/>
    <n v="24999"/>
    <n v="31999"/>
    <n v="22"/>
    <n v="4.2"/>
    <n v="34899"/>
    <x v="1"/>
  </r>
  <r>
    <s v="B08HDH26JX"/>
    <x v="23"/>
    <x v="0"/>
    <n v="299"/>
    <n v="699"/>
    <n v="57"/>
    <n v="4.2"/>
    <n v="94363"/>
    <x v="0"/>
  </r>
  <r>
    <s v="B09VT6JKRP"/>
    <x v="24"/>
    <x v="0"/>
    <n v="199"/>
    <n v="999"/>
    <n v="80"/>
    <n v="4.0999999999999996"/>
    <n v="425"/>
    <x v="0"/>
  </r>
  <r>
    <s v="B09T3KB6JZ"/>
    <x v="25"/>
    <x v="1"/>
    <n v="18990"/>
    <n v="40990"/>
    <n v="54"/>
    <n v="4.2"/>
    <n v="6659"/>
    <x v="1"/>
  </r>
  <r>
    <s v="B093QCY6YJ"/>
    <x v="26"/>
    <x v="0"/>
    <n v="290"/>
    <n v="349"/>
    <n v="17"/>
    <n v="3.7"/>
    <n v="1977"/>
    <x v="2"/>
  </r>
  <r>
    <s v="B093ZNQZ2Y"/>
    <x v="27"/>
    <x v="1"/>
    <n v="249"/>
    <n v="799"/>
    <n v="69"/>
    <n v="3.8"/>
    <n v="1079"/>
    <x v="0"/>
  </r>
  <r>
    <s v="B08LKS3LSP"/>
    <x v="28"/>
    <x v="0"/>
    <n v="345"/>
    <n v="999"/>
    <n v="65"/>
    <n v="3.7"/>
    <n v="1097"/>
    <x v="0"/>
  </r>
  <r>
    <s v="B00V4BGDKU"/>
    <x v="29"/>
    <x v="0"/>
    <n v="1099"/>
    <n v="1899"/>
    <n v="42"/>
    <n v="4.5"/>
    <n v="22420"/>
    <x v="0"/>
  </r>
  <r>
    <s v="B08CHKQ8D4"/>
    <x v="30"/>
    <x v="0"/>
    <n v="719"/>
    <n v="1499"/>
    <n v="52"/>
    <n v="4.0999999999999996"/>
    <n v="1045"/>
    <x v="0"/>
  </r>
  <r>
    <s v="B09BW334ML"/>
    <x v="31"/>
    <x v="1"/>
    <n v="349"/>
    <n v="1499"/>
    <n v="77"/>
    <n v="4.3"/>
    <n v="4145"/>
    <x v="0"/>
  </r>
  <r>
    <s v="B082T6GVLJ"/>
    <x v="32"/>
    <x v="0"/>
    <n v="849"/>
    <n v="1809"/>
    <n v="53"/>
    <n v="4.3"/>
    <n v="6547"/>
    <x v="0"/>
  </r>
  <r>
    <s v="B07DL1KC3H"/>
    <x v="33"/>
    <x v="1"/>
    <n v="299"/>
    <n v="899"/>
    <n v="67"/>
    <n v="4"/>
    <n v="1588"/>
    <x v="0"/>
  </r>
  <r>
    <s v="B07JNVF678"/>
    <x v="34"/>
    <x v="0"/>
    <n v="349"/>
    <n v="999"/>
    <n v="65"/>
    <n v="4.2"/>
    <n v="13120"/>
    <x v="0"/>
  </r>
  <r>
    <s v="B07JGDB5M1"/>
    <x v="35"/>
    <x v="0"/>
    <n v="449"/>
    <n v="1299"/>
    <n v="65"/>
    <n v="4.2"/>
    <n v="24269"/>
    <x v="0"/>
  </r>
  <r>
    <s v="B0981XSZJ7"/>
    <x v="36"/>
    <x v="0"/>
    <n v="299"/>
    <n v="999"/>
    <n v="70"/>
    <n v="4.3"/>
    <n v="766"/>
    <x v="0"/>
  </r>
  <r>
    <s v="B0B9XLX8VR"/>
    <x v="37"/>
    <x v="1"/>
    <n v="37999"/>
    <n v="65000"/>
    <n v="42"/>
    <n v="4.3"/>
    <n v="3587"/>
    <x v="1"/>
  </r>
  <r>
    <s v="B08Y5KXR6Z"/>
    <x v="38"/>
    <x v="0"/>
    <n v="99"/>
    <n v="800"/>
    <n v="88"/>
    <n v="3.9"/>
    <n v="24871"/>
    <x v="0"/>
  </r>
  <r>
    <s v="B09F6VHQXB"/>
    <x v="39"/>
    <x v="1"/>
    <n v="7390"/>
    <n v="20000"/>
    <n v="63"/>
    <n v="4.0999999999999996"/>
    <n v="2581"/>
    <x v="1"/>
  </r>
  <r>
    <s v="B0974G5Q2Y"/>
    <x v="40"/>
    <x v="0"/>
    <n v="27310"/>
    <n v="999"/>
    <n v="73"/>
    <n v="4.3"/>
    <n v="20850"/>
    <x v="0"/>
  </r>
  <r>
    <s v="B09YL9SN9B"/>
    <x v="41"/>
    <x v="1"/>
    <n v="15990"/>
    <n v="23990"/>
    <n v="33"/>
    <n v="4.3"/>
    <n v="1035"/>
    <x v="1"/>
  </r>
  <r>
    <s v="B09RX1FK54"/>
    <x v="42"/>
    <x v="0"/>
    <n v="399"/>
    <n v="999"/>
    <n v="60"/>
    <n v="4.0999999999999996"/>
    <n v="1780"/>
    <x v="0"/>
  </r>
  <r>
    <s v="B09TT6BFDX"/>
    <x v="43"/>
    <x v="1"/>
    <n v="399"/>
    <n v="1999"/>
    <n v="80"/>
    <n v="4.5"/>
    <n v="505"/>
    <x v="0"/>
  </r>
  <r>
    <s v="B09KH58JZR"/>
    <x v="44"/>
    <x v="0"/>
    <n v="210"/>
    <n v="399"/>
    <n v="47"/>
    <n v="4.0999999999999996"/>
    <n v="1717"/>
    <x v="2"/>
  </r>
  <r>
    <s v="B09DDCQFMT"/>
    <x v="45"/>
    <x v="1"/>
    <n v="1299"/>
    <n v="1999"/>
    <n v="35"/>
    <n v="3.6"/>
    <n v="590"/>
    <x v="0"/>
  </r>
  <r>
    <s v="B08RP2L2NL"/>
    <x v="46"/>
    <x v="0"/>
    <n v="347"/>
    <n v="999"/>
    <n v="65"/>
    <n v="3.5"/>
    <n v="1121"/>
    <x v="0"/>
  </r>
  <r>
    <s v="B0B4G2MWSB"/>
    <x v="47"/>
    <x v="0"/>
    <n v="149"/>
    <n v="999"/>
    <n v="85"/>
    <n v="4"/>
    <n v="1313"/>
    <x v="0"/>
  </r>
  <r>
    <s v="B0B21C4BMX"/>
    <x v="48"/>
    <x v="0"/>
    <n v="228"/>
    <n v="899"/>
    <n v="75"/>
    <n v="3.8"/>
    <n v="132"/>
    <x v="0"/>
  </r>
  <r>
    <s v="B0BHZCNC4P"/>
    <x v="49"/>
    <x v="1"/>
    <n v="1499"/>
    <n v="3999"/>
    <n v="63"/>
    <n v="3.7"/>
    <n v="37"/>
    <x v="1"/>
  </r>
  <r>
    <s v="B099K9ZX65"/>
    <x v="50"/>
    <x v="1"/>
    <n v="20990"/>
    <n v="44990"/>
    <n v="53"/>
    <n v="4.0999999999999996"/>
    <n v="1259"/>
    <x v="1"/>
  </r>
  <r>
    <s v="B08Y55LPBF"/>
    <x v="51"/>
    <x v="1"/>
    <n v="32999"/>
    <n v="44999"/>
    <n v="27"/>
    <n v="4.2"/>
    <n v="45238"/>
    <x v="1"/>
  </r>
  <r>
    <s v="B015OW3M1W"/>
    <x v="52"/>
    <x v="1"/>
    <n v="799"/>
    <n v="1700"/>
    <n v="53"/>
    <n v="4.0999999999999996"/>
    <n v="28638"/>
    <x v="0"/>
  </r>
  <r>
    <s v="B01D5H8ZI8"/>
    <x v="53"/>
    <x v="1"/>
    <n v="229"/>
    <n v="595"/>
    <n v="62"/>
    <n v="4.3"/>
    <n v="12835"/>
    <x v="0"/>
  </r>
  <r>
    <s v="B09X1M3DHX"/>
    <x v="54"/>
    <x v="1"/>
    <n v="9999"/>
    <n v="27990"/>
    <n v="64"/>
    <n v="4.2"/>
    <n v="1269"/>
    <x v="1"/>
  </r>
  <r>
    <s v="B09MM6P76N"/>
    <x v="55"/>
    <x v="1"/>
    <n v="349"/>
    <n v="599"/>
    <n v="42"/>
    <n v="4.2"/>
    <n v="284"/>
    <x v="0"/>
  </r>
  <r>
    <s v="B01D5H8LDM"/>
    <x v="56"/>
    <x v="1"/>
    <n v="489"/>
    <n v="1200"/>
    <n v="59"/>
    <n v="4.4000000000000004"/>
    <n v="69538"/>
    <x v="0"/>
  </r>
  <r>
    <s v="B0B1YY6JJL"/>
    <x v="57"/>
    <x v="1"/>
    <n v="23999"/>
    <n v="34990"/>
    <n v="31"/>
    <n v="4.3"/>
    <n v="4703"/>
    <x v="1"/>
  </r>
  <r>
    <s v="B08L4SBJRY"/>
    <x v="58"/>
    <x v="1"/>
    <n v="349"/>
    <n v="1299"/>
    <n v="73"/>
    <n v="4"/>
    <n v="3295"/>
    <x v="0"/>
  </r>
  <r>
    <s v="B09X79PP8F"/>
    <x v="59"/>
    <x v="0"/>
    <n v="179"/>
    <n v="299"/>
    <n v="40"/>
    <n v="3.9"/>
    <n v="81"/>
    <x v="2"/>
  </r>
  <r>
    <s v="B082T6GVG9"/>
    <x v="60"/>
    <x v="0"/>
    <n v="689"/>
    <n v="1500"/>
    <n v="54"/>
    <n v="4.2"/>
    <n v="42301"/>
    <x v="0"/>
  </r>
  <r>
    <s v="B0B3XY5YT4"/>
    <x v="61"/>
    <x v="1"/>
    <n v="30990"/>
    <n v="49990"/>
    <n v="38"/>
    <n v="4.3"/>
    <n v="1376"/>
    <x v="1"/>
  </r>
  <r>
    <s v="B0B4HKH19N"/>
    <x v="62"/>
    <x v="0"/>
    <n v="249"/>
    <n v="931"/>
    <n v="73"/>
    <n v="3.9"/>
    <n v="1075"/>
    <x v="0"/>
  </r>
  <r>
    <s v="B08TGG316Z"/>
    <x v="63"/>
    <x v="1"/>
    <n v="999"/>
    <n v="2399"/>
    <n v="58"/>
    <n v="4.5999999999999996"/>
    <n v="3664"/>
    <x v="1"/>
  </r>
  <r>
    <s v="B071VMP1Z4"/>
    <x v="64"/>
    <x v="1"/>
    <n v="399"/>
    <n v="399"/>
    <n v="0"/>
    <n v="3.9"/>
    <n v="1951"/>
    <x v="2"/>
  </r>
  <r>
    <s v="B071SDRGWL"/>
    <x v="65"/>
    <x v="0"/>
    <n v="349"/>
    <n v="699"/>
    <n v="50"/>
    <n v="4.3"/>
    <n v="20850"/>
    <x v="0"/>
  </r>
  <r>
    <s v="B08PSQRW2T"/>
    <x v="66"/>
    <x v="0"/>
    <n v="399"/>
    <n v="1099"/>
    <n v="64"/>
    <n v="4.0999999999999996"/>
    <n v="2685"/>
    <x v="0"/>
  </r>
  <r>
    <s v="B0859M539M"/>
    <x v="67"/>
    <x v="0"/>
    <n v="1699"/>
    <n v="2999"/>
    <n v="43"/>
    <n v="4.4000000000000004"/>
    <n v="24780"/>
    <x v="1"/>
  </r>
  <r>
    <s v="B08RX8G496"/>
    <x v="68"/>
    <x v="1"/>
    <n v="655"/>
    <n v="1099"/>
    <n v="40"/>
    <n v="3.2"/>
    <n v="285"/>
    <x v="0"/>
  </r>
  <r>
    <s v="B002SZEOLG"/>
    <x v="69"/>
    <x v="0"/>
    <n v="749"/>
    <n v="1339"/>
    <n v="44"/>
    <n v="4.2"/>
    <n v="179692"/>
    <x v="0"/>
  </r>
  <r>
    <s v="B00RFWNJMC"/>
    <x v="70"/>
    <x v="1"/>
    <n v="195"/>
    <n v="499"/>
    <n v="61"/>
    <n v="3.7"/>
    <n v="1383"/>
    <x v="2"/>
  </r>
  <r>
    <s v="B082T6GXS5"/>
    <x v="71"/>
    <x v="0"/>
    <n v="999"/>
    <n v="2100"/>
    <n v="52"/>
    <n v="4.5"/>
    <n v="5492"/>
    <x v="1"/>
  </r>
  <r>
    <s v="B09CMQRQM6"/>
    <x v="72"/>
    <x v="0"/>
    <n v="499"/>
    <n v="899"/>
    <n v="44"/>
    <n v="4.2"/>
    <n v="919"/>
    <x v="0"/>
  </r>
  <r>
    <s v="B005LJQMCK"/>
    <x v="73"/>
    <x v="1"/>
    <n v="416"/>
    <n v="599"/>
    <n v="31"/>
    <n v="4.2"/>
    <n v="30023"/>
    <x v="0"/>
  </r>
  <r>
    <s v="B09C6H53KH"/>
    <x v="74"/>
    <x v="0"/>
    <n v="368"/>
    <n v="699"/>
    <n v="47"/>
    <n v="4.2"/>
    <n v="387"/>
    <x v="0"/>
  </r>
  <r>
    <s v="B0BB3CBFBM"/>
    <x v="75"/>
    <x v="1"/>
    <n v="29990"/>
    <n v="65000"/>
    <n v="54"/>
    <n v="4.0999999999999996"/>
    <n v="211"/>
    <x v="1"/>
  </r>
  <r>
    <s v="B08QSDKFGQ"/>
    <x v="76"/>
    <x v="0"/>
    <n v="339"/>
    <n v="1099"/>
    <n v="69"/>
    <n v="4.3"/>
    <n v="974"/>
    <x v="0"/>
  </r>
  <r>
    <s v="B08PV1X771"/>
    <x v="77"/>
    <x v="1"/>
    <n v="15490"/>
    <n v="20900"/>
    <n v="26"/>
    <n v="4.3"/>
    <n v="16299"/>
    <x v="1"/>
  </r>
  <r>
    <s v="B07YTNKVJQ"/>
    <x v="78"/>
    <x v="0"/>
    <n v="499"/>
    <n v="1299"/>
    <n v="62"/>
    <n v="4.3"/>
    <n v="30411"/>
    <x v="0"/>
  </r>
  <r>
    <s v="B0117H7GZ6"/>
    <x v="79"/>
    <x v="0"/>
    <n v="249"/>
    <n v="399"/>
    <n v="38"/>
    <n v="3.4"/>
    <n v="4642"/>
    <x v="2"/>
  </r>
  <r>
    <s v="B09XJ1LM7R"/>
    <x v="80"/>
    <x v="1"/>
    <n v="399"/>
    <n v="799"/>
    <n v="50"/>
    <n v="4.3"/>
    <n v="12"/>
    <x v="0"/>
  </r>
  <r>
    <s v="B088Z1YWBC"/>
    <x v="81"/>
    <x v="1"/>
    <n v="9490"/>
    <n v="15990"/>
    <n v="41"/>
    <n v="3.9"/>
    <n v="10480"/>
    <x v="1"/>
  </r>
  <r>
    <s v="B07VSG5SXZ"/>
    <x v="82"/>
    <x v="1"/>
    <n v="637"/>
    <n v="1499"/>
    <n v="58"/>
    <n v="4.0999999999999996"/>
    <n v="24"/>
    <x v="0"/>
  </r>
  <r>
    <s v="B08RWCZ6SY"/>
    <x v="83"/>
    <x v="1"/>
    <n v="399"/>
    <n v="899"/>
    <n v="56"/>
    <n v="3.9"/>
    <n v="254"/>
    <x v="0"/>
  </r>
  <r>
    <s v="B07KSB1MLX"/>
    <x v="84"/>
    <x v="1"/>
    <n v="1089"/>
    <n v="1600"/>
    <n v="32"/>
    <n v="4"/>
    <n v="3565"/>
    <x v="0"/>
  </r>
  <r>
    <s v="B081FG1QYX"/>
    <x v="85"/>
    <x v="0"/>
    <n v="339"/>
    <n v="999"/>
    <n v="66"/>
    <n v="4.3"/>
    <n v="6255"/>
    <x v="0"/>
  </r>
  <r>
    <s v="B08R69WBN7"/>
    <x v="86"/>
    <x v="0"/>
    <n v="149"/>
    <n v="499"/>
    <n v="70"/>
    <n v="4"/>
    <n v="7732"/>
    <x v="2"/>
  </r>
  <r>
    <s v="B0B3RHX6B6"/>
    <x v="87"/>
    <x v="0"/>
    <n v="149"/>
    <n v="399"/>
    <n v="63"/>
    <n v="3.9"/>
    <n v="57"/>
    <x v="2"/>
  </r>
  <r>
    <s v="B081NHWT6Z"/>
    <x v="88"/>
    <x v="1"/>
    <n v="299"/>
    <n v="1199"/>
    <n v="75"/>
    <n v="3.9"/>
    <n v="1193"/>
    <x v="0"/>
  </r>
  <r>
    <s v="B07JPJJZ2H"/>
    <x v="89"/>
    <x v="0"/>
    <n v="399"/>
    <n v="1299"/>
    <n v="69"/>
    <n v="4.2"/>
    <n v="13120"/>
    <x v="0"/>
  </r>
  <r>
    <s v="B09PNR6F8Q"/>
    <x v="90"/>
    <x v="0"/>
    <n v="249"/>
    <n v="399"/>
    <n v="38"/>
    <n v="4"/>
    <n v="6558"/>
    <x v="2"/>
  </r>
  <r>
    <s v="B07M69276N"/>
    <x v="91"/>
    <x v="0"/>
    <n v="1399"/>
    <n v="2499"/>
    <n v="44"/>
    <n v="4.4000000000000004"/>
    <n v="23169"/>
    <x v="1"/>
  </r>
  <r>
    <s v="B0B1YZ9CB8"/>
    <x v="92"/>
    <x v="1"/>
    <n v="32999"/>
    <n v="47990"/>
    <n v="31"/>
    <n v="4.3"/>
    <n v="4703"/>
    <x v="1"/>
  </r>
  <r>
    <s v="B08CTNJ985"/>
    <x v="93"/>
    <x v="0"/>
    <n v="325"/>
    <n v="999"/>
    <n v="67"/>
    <n v="4.3"/>
    <n v="2651"/>
    <x v="0"/>
  </r>
  <r>
    <s v="B0BP7XLX48"/>
    <x v="94"/>
    <x v="0"/>
    <n v="399"/>
    <n v="1999"/>
    <n v="80"/>
    <n v="5"/>
    <n v="5"/>
    <x v="0"/>
  </r>
  <r>
    <s v="B09LHXNZLR"/>
    <x v="95"/>
    <x v="0"/>
    <n v="199"/>
    <n v="499"/>
    <n v="60"/>
    <n v="3.7"/>
    <n v="612"/>
    <x v="2"/>
  </r>
  <r>
    <s v="B0B3N8VG24"/>
    <x v="96"/>
    <x v="0"/>
    <n v="88"/>
    <n v="299"/>
    <n v="71"/>
    <n v="4"/>
    <n v="9378"/>
    <x v="2"/>
  </r>
  <r>
    <s v="B08PSVBB2X"/>
    <x v="97"/>
    <x v="0"/>
    <n v="399"/>
    <n v="1099"/>
    <n v="64"/>
    <n v="4.0999999999999996"/>
    <n v="2685"/>
    <x v="0"/>
  </r>
  <r>
    <s v="B0B3MQXNFB"/>
    <x v="98"/>
    <x v="0"/>
    <n v="5789"/>
    <n v="199"/>
    <n v="71"/>
    <n v="4"/>
    <n v="9378"/>
    <x v="2"/>
  </r>
  <r>
    <s v="B08XMSKKMM"/>
    <x v="99"/>
    <x v="1"/>
    <n v="799"/>
    <n v="1999"/>
    <n v="60"/>
    <n v="3.3"/>
    <n v="576"/>
    <x v="0"/>
  </r>
  <r>
    <s v="B09L8DT7D6"/>
    <x v="100"/>
    <x v="1"/>
    <n v="205"/>
    <n v="499"/>
    <n v="59"/>
    <n v="3.8"/>
    <n v="313"/>
    <x v="2"/>
  </r>
  <r>
    <s v="B00GE55L22"/>
    <x v="101"/>
    <x v="0"/>
    <n v="299"/>
    <n v="699"/>
    <n v="57"/>
    <n v="4.0999999999999996"/>
    <n v="2957"/>
    <x v="0"/>
  </r>
  <r>
    <s v="B0162K34H2"/>
    <x v="102"/>
    <x v="0"/>
    <n v="849"/>
    <n v="999"/>
    <n v="15"/>
    <n v="4.0999999999999996"/>
    <n v="6736"/>
    <x v="0"/>
  </r>
  <r>
    <s v="B0B8SRZ5SV"/>
    <x v="103"/>
    <x v="0"/>
    <n v="949"/>
    <n v="1999"/>
    <n v="53"/>
    <n v="4.4000000000000004"/>
    <n v="13552"/>
    <x v="0"/>
  </r>
  <r>
    <s v="B00NH12R1O"/>
    <x v="104"/>
    <x v="0"/>
    <n v="299"/>
    <n v="485"/>
    <n v="38"/>
    <n v="4.3"/>
    <n v="10911"/>
    <x v="2"/>
  </r>
  <r>
    <s v="B08WKG2MWT"/>
    <x v="105"/>
    <x v="0"/>
    <n v="379"/>
    <n v="1099"/>
    <n v="66"/>
    <n v="4.3"/>
    <n v="2806"/>
    <x v="0"/>
  </r>
  <r>
    <s v="B0B466C3G4"/>
    <x v="106"/>
    <x v="1"/>
    <n v="8990"/>
    <n v="18990"/>
    <n v="53"/>
    <n v="3.9"/>
    <n v="350"/>
    <x v="1"/>
  </r>
  <r>
    <s v="B07MDRGHWQ"/>
    <x v="107"/>
    <x v="1"/>
    <n v="5699"/>
    <n v="11000"/>
    <n v="48"/>
    <n v="4.2"/>
    <n v="4003"/>
    <x v="1"/>
  </r>
  <r>
    <s v="B07DC4RZPY"/>
    <x v="108"/>
    <x v="0"/>
    <n v="709"/>
    <n v="1999"/>
    <n v="65"/>
    <n v="4.0999999999999996"/>
    <n v="178817"/>
    <x v="0"/>
  </r>
  <r>
    <s v="B08GJNM9N7"/>
    <x v="109"/>
    <x v="1"/>
    <n v="299"/>
    <n v="1199"/>
    <n v="75"/>
    <n v="3.7"/>
    <n v="490"/>
    <x v="0"/>
  </r>
  <r>
    <s v="B09C6FML9B"/>
    <x v="110"/>
    <x v="0"/>
    <n v="320"/>
    <n v="599"/>
    <n v="47"/>
    <n v="4.0999999999999996"/>
    <n v="491"/>
    <x v="0"/>
  </r>
  <r>
    <s v="B0B65MJ45G"/>
    <x v="111"/>
    <x v="0"/>
    <n v="139"/>
    <n v="549"/>
    <n v="75"/>
    <n v="3.9"/>
    <n v="61"/>
    <x v="0"/>
  </r>
  <r>
    <s v="B08P9RYPLR"/>
    <x v="112"/>
    <x v="0"/>
    <n v="129"/>
    <n v="249"/>
    <n v="48"/>
    <n v="4"/>
    <n v="9378"/>
    <x v="2"/>
  </r>
  <r>
    <s v="B084MZXJN6"/>
    <x v="113"/>
    <x v="0"/>
    <n v="999"/>
    <n v="1699"/>
    <n v="41"/>
    <n v="4.4000000000000004"/>
    <n v="7318"/>
    <x v="0"/>
  </r>
  <r>
    <s v="B08XMG618K"/>
    <x v="114"/>
    <x v="0"/>
    <n v="225"/>
    <n v="499"/>
    <n v="55"/>
    <n v="4.0999999999999996"/>
    <n v="789"/>
    <x v="2"/>
  </r>
  <r>
    <s v="B0BCKWZ884"/>
    <x v="115"/>
    <x v="1"/>
    <n v="547"/>
    <n v="2999"/>
    <n v="82"/>
    <n v="4.3"/>
    <n v="407"/>
    <x v="1"/>
  </r>
  <r>
    <s v="B00GGGOYEK"/>
    <x v="116"/>
    <x v="0"/>
    <n v="259"/>
    <n v="699"/>
    <n v="63"/>
    <n v="3.8"/>
    <n v="2399"/>
    <x v="0"/>
  </r>
  <r>
    <s v="B07ZR4S1G4"/>
    <x v="117"/>
    <x v="1"/>
    <n v="239"/>
    <n v="699"/>
    <n v="66"/>
    <n v="4.4000000000000004"/>
    <n v="2640"/>
    <x v="0"/>
  </r>
  <r>
    <s v="B09C635BMM"/>
    <x v="118"/>
    <x v="1"/>
    <n v="349"/>
    <n v="999"/>
    <n v="65"/>
    <n v="4"/>
    <n v="839"/>
    <x v="0"/>
  </r>
  <r>
    <s v="B00GG59HU2"/>
    <x v="119"/>
    <x v="1"/>
    <n v="467"/>
    <n v="599"/>
    <n v="22"/>
    <n v="4.4000000000000004"/>
    <n v="44054"/>
    <x v="0"/>
  </r>
  <r>
    <s v="B00RGLI0ZS"/>
    <x v="120"/>
    <x v="0"/>
    <n v="449"/>
    <n v="599"/>
    <n v="25"/>
    <n v="4"/>
    <n v="3231"/>
    <x v="0"/>
  </r>
  <r>
    <s v="B09ZPJT8B2"/>
    <x v="121"/>
    <x v="1"/>
    <n v="11990"/>
    <n v="31990"/>
    <n v="63"/>
    <n v="4.2"/>
    <n v="64"/>
    <x v="1"/>
  </r>
  <r>
    <s v="B07HZ2QCGR"/>
    <x v="122"/>
    <x v="0"/>
    <n v="350"/>
    <n v="599"/>
    <n v="42"/>
    <n v="3.9"/>
    <n v="8314"/>
    <x v="0"/>
  </r>
  <r>
    <s v="B095244Q22"/>
    <x v="123"/>
    <x v="0"/>
    <n v="252"/>
    <n v="999"/>
    <n v="75"/>
    <n v="3.7"/>
    <n v="2249"/>
    <x v="0"/>
  </r>
  <r>
    <s v="B08CKW1KH9"/>
    <x v="124"/>
    <x v="1"/>
    <n v="204"/>
    <n v="599"/>
    <n v="66"/>
    <n v="3.6"/>
    <n v="339"/>
    <x v="0"/>
  </r>
  <r>
    <s v="B0BLV1GNLN"/>
    <x v="125"/>
    <x v="1"/>
    <n v="6490"/>
    <n v="9990"/>
    <n v="35"/>
    <n v="4"/>
    <n v="27"/>
    <x v="1"/>
  </r>
  <r>
    <s v="B08RHPDNVV"/>
    <x v="126"/>
    <x v="1"/>
    <n v="235"/>
    <n v="599"/>
    <n v="61"/>
    <n v="3.5"/>
    <n v="197"/>
    <x v="0"/>
  </r>
  <r>
    <s v="B00NH13Q8W"/>
    <x v="127"/>
    <x v="0"/>
    <n v="299"/>
    <n v="800"/>
    <n v="63"/>
    <n v="4.5"/>
    <n v="74977"/>
    <x v="0"/>
  </r>
  <r>
    <s v="B0B8SSZ76F"/>
    <x v="128"/>
    <x v="0"/>
    <n v="799"/>
    <n v="1999"/>
    <n v="60"/>
    <n v="4.2"/>
    <n v="8583"/>
    <x v="0"/>
  </r>
  <r>
    <s v="B0841KQR1Z"/>
    <x v="129"/>
    <x v="1"/>
    <n v="299"/>
    <n v="999"/>
    <n v="70"/>
    <n v="3.8"/>
    <n v="928"/>
    <x v="0"/>
  </r>
  <r>
    <s v="B095JQVC7N"/>
    <x v="130"/>
    <x v="1"/>
    <n v="42999"/>
    <n v="59999"/>
    <n v="28"/>
    <n v="4.0999999999999996"/>
    <n v="6753"/>
    <x v="1"/>
  </r>
  <r>
    <s v="B08PPHFXG3"/>
    <x v="131"/>
    <x v="1"/>
    <n v="173"/>
    <n v="999"/>
    <n v="83"/>
    <n v="4.3"/>
    <n v="1237"/>
    <x v="0"/>
  </r>
  <r>
    <s v="B06XR9PR5X"/>
    <x v="132"/>
    <x v="1"/>
    <n v="209"/>
    <n v="600"/>
    <n v="65"/>
    <n v="4.4000000000000004"/>
    <n v="18872"/>
    <x v="0"/>
  </r>
  <r>
    <s v="B09JSW16QD"/>
    <x v="133"/>
    <x v="0"/>
    <n v="84899"/>
    <n v="1490"/>
    <n v="43"/>
    <n v="3.9"/>
    <n v="356"/>
    <x v="0"/>
  </r>
  <r>
    <s v="B07JH1CBGW"/>
    <x v="134"/>
    <x v="0"/>
    <n v="649"/>
    <n v="1999"/>
    <n v="68"/>
    <n v="4.2"/>
    <n v="24269"/>
    <x v="0"/>
  </r>
  <r>
    <s v="B09127FZCK"/>
    <x v="135"/>
    <x v="1"/>
    <n v="299"/>
    <n v="899"/>
    <n v="67"/>
    <n v="3.8"/>
    <n v="425"/>
    <x v="0"/>
  </r>
  <r>
    <s v="B09Q8WQ5QJ"/>
    <x v="136"/>
    <x v="0"/>
    <n v="249"/>
    <n v="499"/>
    <n v="50"/>
    <n v="4.0999999999999996"/>
    <n v="1508"/>
    <x v="2"/>
  </r>
  <r>
    <s v="B07YZG8PPY"/>
    <x v="137"/>
    <x v="1"/>
    <n v="1249"/>
    <n v="2299"/>
    <n v="46"/>
    <n v="4.3"/>
    <n v="7636"/>
    <x v="1"/>
  </r>
  <r>
    <s v="B09H39KTTB"/>
    <x v="138"/>
    <x v="1"/>
    <n v="213"/>
    <n v="499"/>
    <n v="57"/>
    <n v="3.7"/>
    <n v="246"/>
    <x v="2"/>
  </r>
  <r>
    <s v="B08DCVRW98"/>
    <x v="139"/>
    <x v="1"/>
    <n v="209"/>
    <n v="499"/>
    <n v="58"/>
    <n v="4"/>
    <n v="479"/>
    <x v="2"/>
  </r>
  <r>
    <s v="B0718ZN31Q"/>
    <x v="140"/>
    <x v="1"/>
    <n v="598"/>
    <n v="4999"/>
    <n v="88"/>
    <n v="4.2"/>
    <n v="910"/>
    <x v="1"/>
  </r>
  <r>
    <s v="B07PFJ5VQD"/>
    <x v="141"/>
    <x v="0"/>
    <n v="159"/>
    <n v="595"/>
    <n v="73"/>
    <n v="4.3"/>
    <n v="14184"/>
    <x v="0"/>
  </r>
  <r>
    <s v="B01J8S6X2I"/>
    <x v="142"/>
    <x v="0"/>
    <n v="499"/>
    <n v="1100"/>
    <n v="55"/>
    <n v="4.4000000000000004"/>
    <n v="25177"/>
    <x v="0"/>
  </r>
  <r>
    <s v="B09NNGHG22"/>
    <x v="143"/>
    <x v="1"/>
    <n v="32990"/>
    <n v="56790"/>
    <n v="42"/>
    <n v="4.3"/>
    <n v="567"/>
    <x v="1"/>
  </r>
  <r>
    <s v="B07V5YF4ND"/>
    <x v="144"/>
    <x v="1"/>
    <n v="299"/>
    <n v="1199"/>
    <n v="75"/>
    <n v="3.5"/>
    <n v="466"/>
    <x v="0"/>
  </r>
  <r>
    <s v="B084MZYBTV"/>
    <x v="145"/>
    <x v="0"/>
    <n v="599"/>
    <n v="849"/>
    <n v="29"/>
    <n v="4.5"/>
    <n v="474"/>
    <x v="0"/>
  </r>
  <r>
    <s v="B097ZQTDVZ"/>
    <x v="146"/>
    <x v="1"/>
    <n v="399"/>
    <n v="899"/>
    <n v="56"/>
    <n v="3.4"/>
    <n v="431"/>
    <x v="0"/>
  </r>
  <r>
    <s v="B0B5F3YZY4"/>
    <x v="147"/>
    <x v="0"/>
    <n v="449"/>
    <n v="1099"/>
    <n v="59"/>
    <n v="4"/>
    <n v="242"/>
    <x v="0"/>
  </r>
  <r>
    <s v="B09G5TSGXV"/>
    <x v="148"/>
    <x v="0"/>
    <n v="254"/>
    <n v="799"/>
    <n v="68"/>
    <n v="4"/>
    <n v="2905"/>
    <x v="0"/>
  </r>
  <r>
    <s v="B006LW0WDQ"/>
    <x v="149"/>
    <x v="1"/>
    <n v="399"/>
    <n v="795"/>
    <n v="50"/>
    <n v="4.4000000000000004"/>
    <n v="12091"/>
    <x v="0"/>
  </r>
  <r>
    <s v="B09YLX91QR"/>
    <x v="150"/>
    <x v="0"/>
    <n v="179"/>
    <n v="399"/>
    <n v="55"/>
    <n v="4"/>
    <n v="1423"/>
    <x v="2"/>
  </r>
  <r>
    <s v="B081FJWN52"/>
    <x v="151"/>
    <x v="0"/>
    <n v="339"/>
    <n v="999"/>
    <n v="66"/>
    <n v="4.3"/>
    <n v="6255"/>
    <x v="0"/>
  </r>
  <r>
    <s v="B0758F7KK7"/>
    <x v="152"/>
    <x v="1"/>
    <n v="399"/>
    <n v="999"/>
    <n v="60"/>
    <n v="4"/>
    <n v="1236"/>
    <x v="0"/>
  </r>
  <r>
    <s v="B098TV3L96"/>
    <x v="153"/>
    <x v="1"/>
    <n v="349"/>
    <n v="1999"/>
    <n v="83"/>
    <n v="3.8"/>
    <n v="197"/>
    <x v="0"/>
  </r>
  <r>
    <s v="B08NCKT9FG"/>
    <x v="154"/>
    <x v="0"/>
    <n v="299"/>
    <n v="798"/>
    <n v="63"/>
    <n v="4.4000000000000004"/>
    <n v="28791"/>
    <x v="0"/>
  </r>
  <r>
    <s v="B0B4T6MR8N"/>
    <x v="155"/>
    <x v="0"/>
    <n v="89"/>
    <n v="800"/>
    <n v="89"/>
    <n v="3.9"/>
    <n v="1075"/>
    <x v="0"/>
  </r>
  <r>
    <s v="B01GGKZ4NU"/>
    <x v="156"/>
    <x v="0"/>
    <n v="549"/>
    <n v="995"/>
    <n v="45"/>
    <n v="4.2"/>
    <n v="29746"/>
    <x v="0"/>
  </r>
  <r>
    <s v="B09BW2GP18"/>
    <x v="157"/>
    <x v="0"/>
    <n v="129"/>
    <n v="1000"/>
    <n v="87"/>
    <n v="3.9"/>
    <n v="295"/>
    <x v="0"/>
  </r>
  <r>
    <s v="B09WN3SRC7"/>
    <x v="158"/>
    <x v="1"/>
    <n v="77990"/>
    <n v="139900"/>
    <n v="44"/>
    <n v="4.7"/>
    <n v="5935"/>
    <x v="1"/>
  </r>
  <r>
    <s v="B09B125CFJ"/>
    <x v="159"/>
    <x v="1"/>
    <n v="349"/>
    <n v="799"/>
    <n v="56"/>
    <n v="3.6"/>
    <n v="323"/>
    <x v="0"/>
  </r>
  <r>
    <s v="B09RQRZW2X"/>
    <x v="160"/>
    <x v="1"/>
    <n v="499"/>
    <n v="899"/>
    <n v="44"/>
    <n v="3.7"/>
    <n v="185"/>
    <x v="0"/>
  </r>
  <r>
    <s v="B07924P3C5"/>
    <x v="161"/>
    <x v="0"/>
    <n v="299"/>
    <n v="799"/>
    <n v="63"/>
    <n v="4.2"/>
    <n v="2117"/>
    <x v="0"/>
  </r>
  <r>
    <s v="B08N1WL9XW"/>
    <x v="162"/>
    <x v="0"/>
    <n v="182"/>
    <n v="599"/>
    <n v="70"/>
    <n v="4"/>
    <n v="9378"/>
    <x v="0"/>
  </r>
  <r>
    <s v="B07VVXJ2P5"/>
    <x v="163"/>
    <x v="1"/>
    <n v="96"/>
    <n v="399"/>
    <n v="76"/>
    <n v="3.6"/>
    <n v="1796"/>
    <x v="2"/>
  </r>
  <r>
    <s v="B0BC8BQ432"/>
    <x v="164"/>
    <x v="1"/>
    <n v="54990"/>
    <n v="85000"/>
    <n v="35"/>
    <n v="4.3"/>
    <n v="3587"/>
    <x v="1"/>
  </r>
  <r>
    <s v="B06XFTHCNY"/>
    <x v="165"/>
    <x v="1"/>
    <n v="439"/>
    <n v="758"/>
    <n v="42"/>
    <n v="4.2"/>
    <n v="4296"/>
    <x v="0"/>
  </r>
  <r>
    <s v="B08CT62BM1"/>
    <x v="166"/>
    <x v="0"/>
    <n v="299"/>
    <n v="999"/>
    <n v="70"/>
    <n v="4.3"/>
    <n v="2651"/>
    <x v="0"/>
  </r>
  <r>
    <s v="B07CRL2GY6"/>
    <x v="167"/>
    <x v="0"/>
    <n v="299"/>
    <n v="799"/>
    <n v="63"/>
    <n v="4.2"/>
    <n v="94363"/>
    <x v="0"/>
  </r>
  <r>
    <s v="B01D5H90L4"/>
    <x v="168"/>
    <x v="1"/>
    <n v="299"/>
    <n v="700"/>
    <n v="57"/>
    <n v="4.4000000000000004"/>
    <n v="8714"/>
    <x v="0"/>
  </r>
  <r>
    <s v="B07F1P8KNV"/>
    <x v="169"/>
    <x v="0"/>
    <n v="325"/>
    <n v="1099"/>
    <n v="70"/>
    <n v="4.2"/>
    <n v="10576"/>
    <x v="0"/>
  </r>
  <r>
    <s v="B09F6D21BY"/>
    <x v="170"/>
    <x v="1"/>
    <n v="790"/>
    <n v="1999"/>
    <n v="60"/>
    <n v="3"/>
    <n v="103"/>
    <x v="0"/>
  </r>
  <r>
    <s v="B09LQQYNZQ"/>
    <x v="171"/>
    <x v="1"/>
    <n v="4699"/>
    <n v="4699"/>
    <n v="0"/>
    <n v="4.5"/>
    <n v="224"/>
    <x v="1"/>
  </r>
  <r>
    <s v="B0BC9BW512"/>
    <x v="172"/>
    <x v="1"/>
    <n v="18999"/>
    <n v="24990"/>
    <n v="24"/>
    <n v="4.3"/>
    <n v="4702"/>
    <x v="1"/>
  </r>
  <r>
    <s v="B0B61HYR92"/>
    <x v="173"/>
    <x v="0"/>
    <n v="199"/>
    <n v="999"/>
    <n v="80"/>
    <n v="4.2"/>
    <n v="85"/>
    <x v="0"/>
  </r>
  <r>
    <s v="B075ZTJ9XR"/>
    <x v="174"/>
    <x v="1"/>
    <n v="269"/>
    <n v="650"/>
    <n v="59"/>
    <n v="4.4000000000000004"/>
    <n v="35877"/>
    <x v="0"/>
  </r>
  <r>
    <s v="B0978V2CP6"/>
    <x v="175"/>
    <x v="1"/>
    <n v="1990"/>
    <n v="3100"/>
    <n v="36"/>
    <n v="4"/>
    <n v="897"/>
    <x v="1"/>
  </r>
  <r>
    <s v="B09LRZYBH1"/>
    <x v="176"/>
    <x v="1"/>
    <n v="2299"/>
    <n v="3999"/>
    <n v="43"/>
    <n v="3.8"/>
    <n v="282"/>
    <x v="1"/>
  </r>
  <r>
    <s v="B098LCVYPW"/>
    <x v="177"/>
    <x v="1"/>
    <n v="349"/>
    <n v="999"/>
    <n v="65"/>
    <n v="4.2"/>
    <n v="513"/>
    <x v="0"/>
  </r>
  <r>
    <s v="B075TJHWVC"/>
    <x v="178"/>
    <x v="1"/>
    <n v="917"/>
    <n v="2299"/>
    <n v="60"/>
    <n v="4.2"/>
    <n v="3300"/>
    <x v="1"/>
  </r>
  <r>
    <s v="B09LV13JFB"/>
    <x v="179"/>
    <x v="1"/>
    <n v="399"/>
    <n v="999"/>
    <n v="60"/>
    <n v="3.3"/>
    <n v="23"/>
    <x v="0"/>
  </r>
  <r>
    <s v="B092BL5DCX"/>
    <x v="180"/>
    <x v="1"/>
    <n v="45999"/>
    <n v="69900"/>
    <n v="34"/>
    <n v="4.3"/>
    <n v="7109"/>
    <x v="1"/>
  </r>
  <r>
    <s v="B09VH568H7"/>
    <x v="181"/>
    <x v="0"/>
    <n v="119"/>
    <n v="299"/>
    <n v="60"/>
    <n v="3.8"/>
    <n v="51"/>
    <x v="2"/>
  </r>
  <r>
    <s v="B09HQSV46W"/>
    <x v="182"/>
    <x v="1"/>
    <n v="21999"/>
    <n v="29999"/>
    <n v="27"/>
    <n v="4.2"/>
    <n v="32840"/>
    <x v="1"/>
  </r>
  <r>
    <s v="B08TZD7FQN"/>
    <x v="183"/>
    <x v="1"/>
    <n v="299"/>
    <n v="599"/>
    <n v="50"/>
    <n v="3.7"/>
    <n v="708"/>
    <x v="0"/>
  </r>
  <r>
    <s v="B0B21XL94T"/>
    <x v="184"/>
    <x v="1"/>
    <n v="21990"/>
    <n v="34990"/>
    <n v="37"/>
    <n v="4.3"/>
    <n v="1657"/>
    <x v="1"/>
  </r>
  <r>
    <s v="B09PTT8DZF"/>
    <x v="185"/>
    <x v="0"/>
    <n v="41744"/>
    <n v="670"/>
    <n v="38"/>
    <n v="3.9"/>
    <n v="523"/>
    <x v="0"/>
  </r>
  <r>
    <s v="B0B94JPY2N"/>
    <x v="186"/>
    <x v="0"/>
    <n v="199"/>
    <n v="999"/>
    <n v="80"/>
    <n v="3"/>
    <m/>
    <x v="0"/>
  </r>
  <r>
    <s v="B0B3XXSB1K"/>
    <x v="187"/>
    <x v="1"/>
    <n v="47990"/>
    <n v="79990"/>
    <n v="40"/>
    <n v="4.3"/>
    <n v="1376"/>
    <x v="1"/>
  </r>
  <r>
    <s v="B08RZ12GKR"/>
    <x v="188"/>
    <x v="1"/>
    <n v="215"/>
    <n v="499"/>
    <n v="57"/>
    <n v="3.5"/>
    <n v="121"/>
    <x v="2"/>
  </r>
  <r>
    <s v="B0B7B9V9QP"/>
    <x v="189"/>
    <x v="1"/>
    <n v="18999"/>
    <n v="35000"/>
    <n v="46"/>
    <n v="4"/>
    <n v="1001"/>
    <x v="1"/>
  </r>
  <r>
    <s v="B08XXVXP3J"/>
    <x v="190"/>
    <x v="0"/>
    <n v="249"/>
    <n v="999"/>
    <n v="75"/>
    <n v="4.3"/>
    <n v="112"/>
    <x v="0"/>
  </r>
  <r>
    <s v="B06XGWRKYT"/>
    <x v="191"/>
    <x v="1"/>
    <n v="7999"/>
    <n v="15999"/>
    <n v="50"/>
    <n v="3.8"/>
    <n v="3022"/>
    <x v="1"/>
  </r>
  <r>
    <s v="B07CWDX49D"/>
    <x v="192"/>
    <x v="0"/>
    <n v="649"/>
    <n v="1600"/>
    <n v="59"/>
    <n v="4.3"/>
    <n v="5451"/>
    <x v="0"/>
  </r>
  <r>
    <s v="B09TY4MSH3"/>
    <x v="193"/>
    <x v="1"/>
    <n v="1289"/>
    <n v="2499"/>
    <n v="48"/>
    <n v="3.3"/>
    <n v="73"/>
    <x v="1"/>
  </r>
  <r>
    <s v="B07RY2X9MP"/>
    <x v="194"/>
    <x v="1"/>
    <n v="609"/>
    <n v="1500"/>
    <n v="59"/>
    <n v="4.5"/>
    <n v="1029"/>
    <x v="0"/>
  </r>
  <r>
    <s v="B0B2C5MJN6"/>
    <x v="195"/>
    <x v="1"/>
    <n v="32990"/>
    <n v="54990"/>
    <n v="40"/>
    <n v="4.0999999999999996"/>
    <n v="1555"/>
    <x v="1"/>
  </r>
  <r>
    <s v="B0BBMGLQDW"/>
    <x v="196"/>
    <x v="1"/>
    <n v="599"/>
    <n v="1999"/>
    <n v="70"/>
    <n v="4.2"/>
    <n v="47"/>
    <x v="0"/>
  </r>
  <r>
    <s v="B01LONQBDG"/>
    <x v="197"/>
    <x v="0"/>
    <n v="349"/>
    <n v="899"/>
    <n v="61"/>
    <n v="4.0999999999999996"/>
    <n v="14896"/>
    <x v="0"/>
  </r>
  <r>
    <s v="B08XXF5V6G"/>
    <x v="198"/>
    <x v="1"/>
    <n v="29999"/>
    <n v="50999"/>
    <n v="41"/>
    <n v="4.4000000000000004"/>
    <n v="1712"/>
    <x v="1"/>
  </r>
  <r>
    <s v="B09HK9JH4F"/>
    <x v="199"/>
    <x v="1"/>
    <n v="199"/>
    <n v="399"/>
    <n v="50"/>
    <n v="4.2"/>
    <n v="1335"/>
    <x v="2"/>
  </r>
  <r>
    <s v="B09MMD1FDN"/>
    <x v="200"/>
    <x v="1"/>
    <n v="349"/>
    <n v="699"/>
    <n v="50"/>
    <n v="3.9"/>
    <n v="214"/>
    <x v="0"/>
  </r>
  <r>
    <s v="B09HN7LD5L"/>
    <x v="201"/>
    <x v="1"/>
    <n v="1850"/>
    <n v="4500"/>
    <n v="59"/>
    <n v="4"/>
    <n v="184"/>
    <x v="1"/>
  </r>
  <r>
    <s v="B0BNDD9TN6"/>
    <x v="202"/>
    <x v="1"/>
    <n v="13990"/>
    <n v="28900"/>
    <n v="52"/>
    <n v="4.5"/>
    <n v="7"/>
    <x v="1"/>
  </r>
  <r>
    <s v="B0941392C8"/>
    <x v="203"/>
    <x v="0"/>
    <n v="129"/>
    <n v="449"/>
    <n v="71"/>
    <n v="3.7"/>
    <n v="41"/>
    <x v="2"/>
  </r>
  <r>
    <s v="B01M5967SY"/>
    <x v="204"/>
    <x v="1"/>
    <n v="379"/>
    <n v="999"/>
    <n v="62"/>
    <n v="4.2"/>
    <n v="12153"/>
    <x v="0"/>
  </r>
  <r>
    <s v="B016MDK4F4"/>
    <x v="205"/>
    <x v="1"/>
    <n v="185"/>
    <n v="499"/>
    <n v="63"/>
    <n v="4.2"/>
    <n v="25"/>
    <x v="2"/>
  </r>
  <r>
    <s v="B08G43CCLC"/>
    <x v="206"/>
    <x v="0"/>
    <n v="218"/>
    <n v="999"/>
    <n v="78"/>
    <n v="4.2"/>
    <n v="163"/>
    <x v="0"/>
  </r>
  <r>
    <s v="B0B61GCHC1"/>
    <x v="207"/>
    <x v="0"/>
    <n v="199"/>
    <n v="999"/>
    <n v="80"/>
    <n v="4.3"/>
    <n v="87"/>
    <x v="0"/>
  </r>
  <r>
    <s v="B07RX14W1Q"/>
    <x v="208"/>
    <x v="1"/>
    <n v="499"/>
    <n v="900"/>
    <n v="45"/>
    <n v="4.4000000000000004"/>
    <n v="2165"/>
    <x v="0"/>
  </r>
  <r>
    <s v="B09PLD9TCD"/>
    <x v="209"/>
    <x v="1"/>
    <n v="26999"/>
    <n v="42999"/>
    <n v="37"/>
    <n v="4.2"/>
    <n v="1510"/>
    <x v="1"/>
  </r>
  <r>
    <s v="B0B8ZKWGKD"/>
    <x v="210"/>
    <x v="1"/>
    <n v="893"/>
    <n v="1052"/>
    <n v="15"/>
    <n v="4.3"/>
    <n v="106"/>
    <x v="0"/>
  </r>
  <r>
    <s v="B09NNJ9WYM"/>
    <x v="211"/>
    <x v="1"/>
    <n v="10990"/>
    <n v="19990"/>
    <n v="45"/>
    <n v="3.7"/>
    <n v="129"/>
    <x v="1"/>
  </r>
  <r>
    <s v="B08H5L8V1L"/>
    <x v="212"/>
    <x v="0"/>
    <n v="379"/>
    <n v="1099"/>
    <n v="66"/>
    <n v="4.3"/>
    <n v="3049"/>
    <x v="0"/>
  </r>
  <r>
    <s v="B09HCH3JZG"/>
    <x v="213"/>
    <x v="1"/>
    <n v="699"/>
    <n v="1899"/>
    <n v="63"/>
    <n v="4.4000000000000004"/>
    <n v="390"/>
    <x v="0"/>
  </r>
  <r>
    <s v="B097JVLW3L"/>
    <x v="214"/>
    <x v="1"/>
    <n v="2699"/>
    <n v="3500"/>
    <n v="23"/>
    <n v="3.5"/>
    <n v="621"/>
    <x v="1"/>
  </r>
  <r>
    <s v="B09SB6SJB4"/>
    <x v="215"/>
    <x v="0"/>
    <n v="129"/>
    <n v="599"/>
    <n v="78"/>
    <n v="4.0999999999999996"/>
    <n v="265"/>
    <x v="0"/>
  </r>
  <r>
    <s v="B08NW8GHCJ"/>
    <x v="216"/>
    <x v="0"/>
    <n v="389"/>
    <n v="999"/>
    <n v="61"/>
    <n v="4.3"/>
    <n v="838"/>
    <x v="0"/>
  </r>
  <r>
    <s v="B09YHLPQYT"/>
    <x v="217"/>
    <x v="1"/>
    <n v="246"/>
    <n v="600"/>
    <n v="59"/>
    <n v="4.2"/>
    <n v="143"/>
    <x v="0"/>
  </r>
  <r>
    <s v="B08G1RW2Q3"/>
    <x v="218"/>
    <x v="0"/>
    <n v="299"/>
    <n v="799"/>
    <n v="63"/>
    <n v="4"/>
    <n v="151"/>
    <x v="0"/>
  </r>
  <r>
    <s v="B08YXJJW8H"/>
    <x v="219"/>
    <x v="1"/>
    <n v="247"/>
    <n v="399"/>
    <n v="38"/>
    <n v="3.9"/>
    <n v="200"/>
    <x v="2"/>
  </r>
  <r>
    <s v="B09P8M18QM"/>
    <x v="220"/>
    <x v="1"/>
    <n v="1369"/>
    <n v="2999"/>
    <n v="54"/>
    <n v="3.3"/>
    <n v="227"/>
    <x v="1"/>
  </r>
  <r>
    <s v="B08BG4M4N7"/>
    <x v="221"/>
    <x v="1"/>
    <n v="199"/>
    <n v="499"/>
    <n v="60"/>
    <n v="3.8"/>
    <n v="538"/>
    <x v="2"/>
  </r>
  <r>
    <s v="B07VJ9ZTXS"/>
    <x v="222"/>
    <x v="1"/>
    <n v="299"/>
    <n v="599"/>
    <n v="50"/>
    <n v="4"/>
    <n v="171"/>
    <x v="0"/>
  </r>
  <r>
    <s v="B084872DQY"/>
    <x v="223"/>
    <x v="1"/>
    <n v="14999"/>
    <n v="14999"/>
    <n v="0"/>
    <n v="4.3"/>
    <n v="27508"/>
    <x v="1"/>
  </r>
  <r>
    <s v="B08FD2VSD9"/>
    <x v="224"/>
    <x v="1"/>
    <n v="24990"/>
    <n v="51990"/>
    <n v="52"/>
    <n v="4.2"/>
    <n v="2951"/>
    <x v="1"/>
  </r>
  <r>
    <s v="B0BQRJ3C47"/>
    <x v="225"/>
    <x v="0"/>
    <n v="249"/>
    <n v="999"/>
    <n v="75"/>
    <n v="5"/>
    <m/>
    <x v="0"/>
  </r>
  <r>
    <s v="B095JPKPH3"/>
    <x v="226"/>
    <x v="1"/>
    <n v="61999"/>
    <n v="69999"/>
    <n v="11"/>
    <n v="4.0999999999999996"/>
    <n v="6753"/>
    <x v="1"/>
  </r>
  <r>
    <s v="B087JWLZ2K"/>
    <x v="227"/>
    <x v="1"/>
    <n v="24499"/>
    <n v="50000"/>
    <n v="51"/>
    <n v="3.9"/>
    <n v="3518"/>
    <x v="1"/>
  </r>
  <r>
    <s v="B08V9C4B1J"/>
    <x v="228"/>
    <x v="0"/>
    <n v="349"/>
    <n v="999"/>
    <n v="65"/>
    <n v="4.3"/>
    <n v="838"/>
    <x v="0"/>
  </r>
  <r>
    <s v="B08PKBMJKS"/>
    <x v="229"/>
    <x v="1"/>
    <n v="197"/>
    <n v="499"/>
    <n v="61"/>
    <n v="3.8"/>
    <n v="136"/>
    <x v="2"/>
  </r>
  <r>
    <s v="B086JTMRYL"/>
    <x v="230"/>
    <x v="0"/>
    <n v="1519"/>
    <n v="1899"/>
    <n v="20"/>
    <n v="4.4000000000000004"/>
    <n v="19763"/>
    <x v="0"/>
  </r>
  <r>
    <s v="B09RWQ7YR6"/>
    <x v="231"/>
    <x v="1"/>
    <n v="46999"/>
    <n v="69999"/>
    <n v="33"/>
    <n v="4.3"/>
    <n v="21252"/>
    <x v="1"/>
  </r>
  <r>
    <s v="B00OFM6PEO"/>
    <x v="232"/>
    <x v="0"/>
    <n v="299"/>
    <n v="799"/>
    <n v="63"/>
    <n v="4.3"/>
    <n v="1902"/>
    <x v="0"/>
  </r>
  <r>
    <s v="B08HV83HL3"/>
    <x v="233"/>
    <x v="1"/>
    <n v="2049"/>
    <n v="2199"/>
    <n v="7"/>
    <n v="4.3"/>
    <n v="178912"/>
    <x v="1"/>
  </r>
  <r>
    <s v="B0BBN4DZBD"/>
    <x v="234"/>
    <x v="1"/>
    <n v="6499"/>
    <n v="8999"/>
    <n v="28"/>
    <n v="4"/>
    <n v="7807"/>
    <x v="1"/>
  </r>
  <r>
    <s v="B0B3CPQ5PF"/>
    <x v="235"/>
    <x v="1"/>
    <n v="28999"/>
    <n v="28999"/>
    <n v="0"/>
    <n v="4.3"/>
    <n v="17415"/>
    <x v="1"/>
  </r>
  <r>
    <s v="B0B3CQBRB4"/>
    <x v="236"/>
    <x v="1"/>
    <n v="28999"/>
    <n v="28999"/>
    <n v="0"/>
    <n v="4.3"/>
    <n v="17415"/>
    <x v="1"/>
  </r>
  <r>
    <s v="B0BBN56J5H"/>
    <x v="237"/>
    <x v="1"/>
    <n v="6499"/>
    <n v="8999"/>
    <n v="28"/>
    <n v="4"/>
    <n v="7807"/>
    <x v="1"/>
  </r>
  <r>
    <s v="B0BBN3WF7V"/>
    <x v="238"/>
    <x v="1"/>
    <n v="6499"/>
    <n v="8999"/>
    <n v="28"/>
    <n v="4"/>
    <n v="7807"/>
    <x v="1"/>
  </r>
  <r>
    <s v="B0BMGB3CH9"/>
    <x v="239"/>
    <x v="1"/>
    <n v="9499"/>
    <n v="11999"/>
    <n v="21"/>
    <n v="4.2"/>
    <n v="284"/>
    <x v="1"/>
  </r>
  <r>
    <s v="B08D77XZX5"/>
    <x v="240"/>
    <x v="1"/>
    <n v="599"/>
    <n v="2499"/>
    <n v="76"/>
    <n v="3.9"/>
    <n v="58162"/>
    <x v="1"/>
  </r>
  <r>
    <s v="B09XB8GFBQ"/>
    <x v="241"/>
    <x v="1"/>
    <n v="8999"/>
    <n v="11999"/>
    <n v="25"/>
    <n v="4"/>
    <n v="12796"/>
    <x v="1"/>
  </r>
  <r>
    <s v="B07GPXXNNG"/>
    <x v="242"/>
    <x v="1"/>
    <n v="349"/>
    <n v="999"/>
    <n v="65"/>
    <n v="4.0999999999999996"/>
    <n v="363713"/>
    <x v="0"/>
  </r>
  <r>
    <s v="B0BDYVC5TD"/>
    <x v="243"/>
    <x v="1"/>
    <n v="959"/>
    <n v="1800"/>
    <n v="47"/>
    <n v="4.4000000000000004"/>
    <n v="67259"/>
    <x v="0"/>
  </r>
  <r>
    <s v="B0BMGB2TPR"/>
    <x v="244"/>
    <x v="1"/>
    <n v="9499"/>
    <n v="11999"/>
    <n v="21"/>
    <n v="4.2"/>
    <n v="284"/>
    <x v="1"/>
  </r>
  <r>
    <s v="B08MC57J31"/>
    <x v="245"/>
    <x v="1"/>
    <n v="1499"/>
    <n v="2499"/>
    <n v="40"/>
    <n v="4.3"/>
    <n v="15970"/>
    <x v="1"/>
  </r>
  <r>
    <s v="B08HVL8QN3"/>
    <x v="246"/>
    <x v="1"/>
    <n v="1149"/>
    <n v="2199"/>
    <n v="48"/>
    <n v="4.3"/>
    <n v="178912"/>
    <x v="1"/>
  </r>
  <r>
    <s v="B0746JGVDS"/>
    <x v="247"/>
    <x v="1"/>
    <n v="349"/>
    <n v="999"/>
    <n v="65"/>
    <n v="3.9"/>
    <n v="46399"/>
    <x v="0"/>
  </r>
  <r>
    <s v="B08VFF6JQ8"/>
    <x v="248"/>
    <x v="1"/>
    <n v="1219"/>
    <n v="1699"/>
    <n v="28"/>
    <n v="4.4000000000000004"/>
    <n v="8891"/>
    <x v="0"/>
  </r>
  <r>
    <s v="B09TWHTBKQ"/>
    <x v="249"/>
    <x v="1"/>
    <n v="18499"/>
    <n v="25999"/>
    <n v="29"/>
    <n v="4.0999999999999996"/>
    <n v="22318"/>
    <x v="1"/>
  </r>
  <r>
    <s v="B09TWH8YHM"/>
    <x v="250"/>
    <x v="1"/>
    <n v="16999"/>
    <n v="24999"/>
    <n v="32"/>
    <n v="4.0999999999999996"/>
    <n v="22318"/>
    <x v="1"/>
  </r>
  <r>
    <s v="B07WGMMQGP"/>
    <x v="251"/>
    <x v="1"/>
    <n v="16499"/>
    <n v="20999"/>
    <n v="21"/>
    <n v="4"/>
    <n v="21350"/>
    <x v="1"/>
  </r>
  <r>
    <s v="B09GFPVD9Y"/>
    <x v="252"/>
    <x v="1"/>
    <n v="8499"/>
    <n v="10999"/>
    <n v="23"/>
    <n v="4.0999999999999996"/>
    <n v="313836"/>
    <x v="1"/>
  </r>
  <r>
    <s v="B09GFLXVH9"/>
    <x v="253"/>
    <x v="1"/>
    <n v="6499"/>
    <n v="8499"/>
    <n v="24"/>
    <n v="4.0999999999999996"/>
    <n v="313836"/>
    <x v="1"/>
  </r>
  <r>
    <s v="B0BF4YBLPX"/>
    <x v="254"/>
    <x v="1"/>
    <n v="1799"/>
    <n v="19999"/>
    <n v="91"/>
    <n v="4.2"/>
    <n v="13937"/>
    <x v="1"/>
  </r>
  <r>
    <s v="B09XB7DPW1"/>
    <x v="255"/>
    <x v="1"/>
    <n v="8999"/>
    <n v="11999"/>
    <n v="25"/>
    <n v="4"/>
    <n v="12796"/>
    <x v="1"/>
  </r>
  <r>
    <s v="B07PFJ5W31"/>
    <x v="256"/>
    <x v="1"/>
    <n v="139"/>
    <n v="495"/>
    <n v="72"/>
    <n v="4.3"/>
    <n v="14185"/>
    <x v="2"/>
  </r>
  <r>
    <s v="B09XB7SRQ5"/>
    <x v="257"/>
    <x v="1"/>
    <n v="8999"/>
    <n v="11999"/>
    <n v="25"/>
    <n v="4"/>
    <n v="12796"/>
    <x v="1"/>
  </r>
  <r>
    <s v="B09FFK1PQG"/>
    <x v="258"/>
    <x v="1"/>
    <n v="873"/>
    <n v="1699"/>
    <n v="49"/>
    <n v="4.4000000000000004"/>
    <n v="1680"/>
    <x v="0"/>
  </r>
  <r>
    <s v="B09RMQYHLH"/>
    <x v="259"/>
    <x v="1"/>
    <n v="12999"/>
    <n v="15999"/>
    <n v="19"/>
    <n v="4.2"/>
    <n v="13246"/>
    <x v="1"/>
  </r>
  <r>
    <s v="B08ZN4B121"/>
    <x v="260"/>
    <x v="1"/>
    <n v="539"/>
    <n v="1599"/>
    <n v="66"/>
    <n v="3.8"/>
    <n v="14648"/>
    <x v="0"/>
  </r>
  <r>
    <s v="B08VB34KJ1"/>
    <x v="261"/>
    <x v="1"/>
    <n v="15490"/>
    <n v="20990"/>
    <n v="26"/>
    <n v="4.2"/>
    <n v="32916"/>
    <x v="1"/>
  </r>
  <r>
    <s v="B08VF8V79P"/>
    <x v="262"/>
    <x v="1"/>
    <n v="1075"/>
    <n v="1699"/>
    <n v="37"/>
    <n v="4.4000000000000004"/>
    <n v="7462"/>
    <x v="0"/>
  </r>
  <r>
    <s v="B08G28Z33M"/>
    <x v="263"/>
    <x v="1"/>
    <n v="399"/>
    <n v="699"/>
    <n v="43"/>
    <n v="4"/>
    <n v="37817"/>
    <x v="0"/>
  </r>
  <r>
    <s v="B07WDKLDRX"/>
    <x v="264"/>
    <x v="1"/>
    <n v="28999"/>
    <n v="34999"/>
    <n v="17"/>
    <n v="4.4000000000000004"/>
    <n v="20311"/>
    <x v="1"/>
  </r>
  <r>
    <s v="B08VS3YLRK"/>
    <x v="265"/>
    <x v="1"/>
    <n v="529"/>
    <n v="1499"/>
    <n v="65"/>
    <n v="4.0999999999999996"/>
    <n v="8599"/>
    <x v="0"/>
  </r>
  <r>
    <s v="B07WDKLRM4"/>
    <x v="266"/>
    <x v="1"/>
    <n v="13999"/>
    <n v="19999"/>
    <n v="30"/>
    <n v="4.0999999999999996"/>
    <n v="19252"/>
    <x v="1"/>
  </r>
  <r>
    <s v="B0BP18W8TM"/>
    <x v="267"/>
    <x v="1"/>
    <n v="3999"/>
    <n v="9999"/>
    <n v="60"/>
    <n v="4.4000000000000004"/>
    <n v="73"/>
    <x v="1"/>
  </r>
  <r>
    <s v="B07GXHC691"/>
    <x v="268"/>
    <x v="1"/>
    <n v="99"/>
    <n v="499"/>
    <n v="80"/>
    <n v="4.3"/>
    <n v="42641"/>
    <x v="2"/>
  </r>
  <r>
    <s v="B08FN6WGDQ"/>
    <x v="269"/>
    <x v="1"/>
    <n v="4790"/>
    <n v="15990"/>
    <n v="70"/>
    <n v="4"/>
    <n v="4390"/>
    <x v="1"/>
  </r>
  <r>
    <s v="B08D75R3Z1"/>
    <x v="270"/>
    <x v="1"/>
    <n v="299"/>
    <n v="1900"/>
    <n v="84"/>
    <n v="3.6"/>
    <n v="18202"/>
    <x v="0"/>
  </r>
  <r>
    <s v="B0B4F2TTTS"/>
    <x v="271"/>
    <x v="1"/>
    <n v="10999"/>
    <n v="14999"/>
    <n v="27"/>
    <n v="4.0999999999999996"/>
    <n v="18998"/>
    <x v="1"/>
  </r>
  <r>
    <s v="B09WRMNJ9G"/>
    <x v="272"/>
    <x v="1"/>
    <n v="34999"/>
    <n v="38999"/>
    <n v="10"/>
    <n v="4.2"/>
    <n v="11029"/>
    <x v="1"/>
  </r>
  <r>
    <s v="B09ZPL5VYM"/>
    <x v="273"/>
    <x v="1"/>
    <n v="199"/>
    <n v="499"/>
    <n v="60"/>
    <n v="4.0999999999999996"/>
    <n v="1786"/>
    <x v="2"/>
  </r>
  <r>
    <s v="B0993BB11X"/>
    <x v="274"/>
    <x v="1"/>
    <n v="999"/>
    <n v="1599"/>
    <n v="38"/>
    <n v="4"/>
    <n v="7222"/>
    <x v="0"/>
  </r>
  <r>
    <s v="B09V2PZDX8"/>
    <x v="275"/>
    <x v="1"/>
    <n v="1299"/>
    <n v="1599"/>
    <n v="19"/>
    <n v="4"/>
    <n v="128311"/>
    <x v="0"/>
  </r>
  <r>
    <s v="B085W8CFLH"/>
    <x v="276"/>
    <x v="1"/>
    <n v="599"/>
    <n v="1800"/>
    <n v="67"/>
    <n v="3.5"/>
    <n v="83996"/>
    <x v="0"/>
  </r>
  <r>
    <s v="B09MT6XSFW"/>
    <x v="277"/>
    <x v="1"/>
    <n v="599"/>
    <n v="1899"/>
    <n v="68"/>
    <n v="4.3"/>
    <n v="140036"/>
    <x v="0"/>
  </r>
  <r>
    <s v="B0B4F52B5X"/>
    <x v="278"/>
    <x v="1"/>
    <n v="10999"/>
    <n v="14999"/>
    <n v="27"/>
    <n v="4.0999999999999996"/>
    <n v="18998"/>
    <x v="1"/>
  </r>
  <r>
    <s v="B09XBJ1CTN"/>
    <x v="279"/>
    <x v="1"/>
    <n v="649"/>
    <n v="999"/>
    <n v="35"/>
    <n v="4.2"/>
    <n v="1315"/>
    <x v="0"/>
  </r>
  <r>
    <s v="B09QS8V5N8"/>
    <x v="280"/>
    <x v="1"/>
    <n v="12999"/>
    <n v="17999"/>
    <n v="28"/>
    <n v="4.0999999999999996"/>
    <n v="50772"/>
    <x v="1"/>
  </r>
  <r>
    <s v="B089WB69Y1"/>
    <x v="281"/>
    <x v="1"/>
    <n v="249"/>
    <n v="649"/>
    <n v="62"/>
    <n v="4"/>
    <n v="14404"/>
    <x v="0"/>
  </r>
  <r>
    <s v="B0116MIKKC"/>
    <x v="282"/>
    <x v="1"/>
    <n v="99"/>
    <n v="171"/>
    <n v="42"/>
    <n v="4.5"/>
    <n v="11339"/>
    <x v="2"/>
  </r>
  <r>
    <s v="B09P858DK8"/>
    <x v="283"/>
    <x v="1"/>
    <n v="489"/>
    <n v="1999"/>
    <n v="76"/>
    <n v="4"/>
    <n v="3626"/>
    <x v="0"/>
  </r>
  <r>
    <s v="B07WDK3ZS6"/>
    <x v="284"/>
    <x v="1"/>
    <n v="15499"/>
    <n v="18999"/>
    <n v="18"/>
    <n v="4.0999999999999996"/>
    <n v="19252"/>
    <x v="1"/>
  </r>
  <r>
    <s v="B09T2S8X9C"/>
    <x v="285"/>
    <x v="1"/>
    <n v="22999"/>
    <n v="28999"/>
    <n v="21"/>
    <n v="3.9"/>
    <n v="25824"/>
    <x v="1"/>
  </r>
  <r>
    <s v="B07S9S86BF"/>
    <x v="286"/>
    <x v="1"/>
    <n v="599"/>
    <n v="1490"/>
    <n v="60"/>
    <n v="4.0999999999999996"/>
    <n v="161679"/>
    <x v="0"/>
  </r>
  <r>
    <s v="B07N8RQ6W7"/>
    <x v="287"/>
    <x v="1"/>
    <n v="134"/>
    <n v="699"/>
    <n v="81"/>
    <n v="4.0999999999999996"/>
    <n v="16685"/>
    <x v="0"/>
  </r>
  <r>
    <s v="B09FKDH6FS"/>
    <x v="288"/>
    <x v="1"/>
    <n v="7499"/>
    <n v="7999"/>
    <n v="6"/>
    <n v="4"/>
    <n v="30907"/>
    <x v="1"/>
  </r>
  <r>
    <s v="B08HVJCW95"/>
    <x v="289"/>
    <x v="1"/>
    <n v="1149"/>
    <n v="2199"/>
    <n v="48"/>
    <n v="4.3"/>
    <n v="178912"/>
    <x v="1"/>
  </r>
  <r>
    <s v="B09YDFDVNS"/>
    <x v="290"/>
    <x v="1"/>
    <n v="1324"/>
    <n v="1699"/>
    <n v="22"/>
    <n v="4"/>
    <n v="128311"/>
    <x v="0"/>
  </r>
  <r>
    <s v="B0B4F2ZWL3"/>
    <x v="291"/>
    <x v="1"/>
    <n v="12999"/>
    <n v="17999"/>
    <n v="28"/>
    <n v="4.0999999999999996"/>
    <n v="18998"/>
    <x v="1"/>
  </r>
  <r>
    <s v="B08VB2CMR3"/>
    <x v="292"/>
    <x v="1"/>
    <n v="15490"/>
    <n v="20990"/>
    <n v="26"/>
    <n v="4.2"/>
    <n v="32916"/>
    <x v="1"/>
  </r>
  <r>
    <s v="B095RTJH1M"/>
    <x v="293"/>
    <x v="1"/>
    <n v="999"/>
    <n v="2899"/>
    <n v="66"/>
    <n v="4.5999999999999996"/>
    <n v="26603"/>
    <x v="1"/>
  </r>
  <r>
    <s v="B07WDK3ZS2"/>
    <x v="294"/>
    <x v="1"/>
    <n v="20999"/>
    <n v="29990"/>
    <n v="30"/>
    <n v="4.3"/>
    <n v="9499"/>
    <x v="1"/>
  </r>
  <r>
    <s v="B08RZ5K9YH"/>
    <x v="295"/>
    <x v="1"/>
    <n v="999"/>
    <n v="1999"/>
    <n v="50"/>
    <n v="4.3"/>
    <n v="1777"/>
    <x v="0"/>
  </r>
  <r>
    <s v="B08444S68L"/>
    <x v="296"/>
    <x v="1"/>
    <n v="12490"/>
    <n v="15990"/>
    <n v="22"/>
    <n v="4.2"/>
    <n v="58506"/>
    <x v="1"/>
  </r>
  <r>
    <s v="B09JS562TP"/>
    <x v="297"/>
    <x v="1"/>
    <n v="1399"/>
    <n v="1630"/>
    <n v="14"/>
    <n v="4"/>
    <n v="9378"/>
    <x v="0"/>
  </r>
  <r>
    <s v="B0B5CGTBKV"/>
    <x v="298"/>
    <x v="1"/>
    <n v="1999"/>
    <n v="7990"/>
    <n v="75"/>
    <n v="3.8"/>
    <n v="17833"/>
    <x v="1"/>
  </r>
  <r>
    <s v="B0971DWFDT"/>
    <x v="299"/>
    <x v="1"/>
    <n v="337"/>
    <n v="699"/>
    <n v="52"/>
    <n v="4.2"/>
    <n v="4969"/>
    <x v="0"/>
  </r>
  <r>
    <s v="B0BNV7JM5Y"/>
    <x v="300"/>
    <x v="1"/>
    <n v="2999"/>
    <n v="7990"/>
    <n v="62"/>
    <n v="4.0999999999999996"/>
    <n v="154"/>
    <x v="1"/>
  </r>
  <r>
    <s v="B07WJWRNVK"/>
    <x v="301"/>
    <x v="1"/>
    <n v="16499"/>
    <n v="20990"/>
    <n v="21"/>
    <n v="4"/>
    <n v="21350"/>
    <x v="1"/>
  </r>
  <r>
    <s v="B01F25X6RQ"/>
    <x v="302"/>
    <x v="1"/>
    <n v="499"/>
    <n v="499"/>
    <n v="0"/>
    <n v="4.2"/>
    <n v="31539"/>
    <x v="2"/>
  </r>
  <r>
    <s v="B092JHPL72"/>
    <x v="303"/>
    <x v="1"/>
    <n v="251"/>
    <n v="999"/>
    <n v="75"/>
    <n v="3.7"/>
    <n v="3234"/>
    <x v="0"/>
  </r>
  <r>
    <s v="B09GFM8CGS"/>
    <x v="304"/>
    <x v="1"/>
    <n v="6499"/>
    <n v="7999"/>
    <n v="19"/>
    <n v="4.0999999999999996"/>
    <n v="313832"/>
    <x v="1"/>
  </r>
  <r>
    <s v="B09J2MM5C6"/>
    <x v="305"/>
    <x v="1"/>
    <n v="279"/>
    <n v="1499"/>
    <n v="81"/>
    <n v="4.2"/>
    <n v="2646"/>
    <x v="0"/>
  </r>
  <r>
    <s v="B07Q4QV1DL"/>
    <x v="306"/>
    <x v="1"/>
    <n v="269"/>
    <n v="1499"/>
    <n v="82"/>
    <n v="4.5"/>
    <n v="28978"/>
    <x v="0"/>
  </r>
  <r>
    <s v="B0B56YRBNT"/>
    <x v="307"/>
    <x v="1"/>
    <n v="8999"/>
    <n v="13499"/>
    <n v="33"/>
    <n v="3.8"/>
    <n v="3145"/>
    <x v="1"/>
  </r>
  <r>
    <s v="B01DF26V7A"/>
    <x v="308"/>
    <x v="1"/>
    <n v="599"/>
    <n v="1299"/>
    <n v="54"/>
    <n v="4.0999999999999996"/>
    <n v="192589"/>
    <x v="0"/>
  </r>
  <r>
    <s v="B0B4F1YC3J"/>
    <x v="309"/>
    <x v="1"/>
    <n v="13999"/>
    <n v="19499"/>
    <n v="28"/>
    <n v="4.0999999999999996"/>
    <n v="18998"/>
    <x v="1"/>
  </r>
  <r>
    <s v="B08K4RDQ71"/>
    <x v="310"/>
    <x v="1"/>
    <n v="349"/>
    <n v="999"/>
    <n v="65"/>
    <n v="3.8"/>
    <n v="16557"/>
    <x v="0"/>
  </r>
  <r>
    <s v="B085CZ3SR1"/>
    <x v="311"/>
    <x v="1"/>
    <n v="499"/>
    <n v="599"/>
    <n v="17"/>
    <n v="4.2"/>
    <n v="21916"/>
    <x v="0"/>
  </r>
  <r>
    <s v="B0BGSV43WY"/>
    <x v="312"/>
    <x v="1"/>
    <n v="4499"/>
    <n v="7999"/>
    <n v="44"/>
    <n v="3.5"/>
    <n v="37"/>
    <x v="1"/>
  </r>
  <r>
    <s v="B0926V9CTV"/>
    <x v="313"/>
    <x v="1"/>
    <n v="89"/>
    <n v="599"/>
    <n v="85"/>
    <n v="4.3"/>
    <n v="2351"/>
    <x v="0"/>
  </r>
  <r>
    <s v="B0BBFJ9M3X"/>
    <x v="314"/>
    <x v="1"/>
    <n v="13999"/>
    <n v="15999"/>
    <n v="13"/>
    <n v="3.9"/>
    <n v="2180"/>
    <x v="1"/>
  </r>
  <r>
    <s v="B0B53NXFFR"/>
    <x v="315"/>
    <x v="1"/>
    <n v="1399"/>
    <n v="5999"/>
    <n v="77"/>
    <n v="3.3"/>
    <n v="4415"/>
    <x v="1"/>
  </r>
  <r>
    <s v="B07GNC2592"/>
    <x v="316"/>
    <x v="1"/>
    <n v="599"/>
    <n v="999"/>
    <n v="40"/>
    <n v="4"/>
    <n v="18654"/>
    <x v="0"/>
  </r>
  <r>
    <s v="B09TP5KBN7"/>
    <x v="317"/>
    <x v="1"/>
    <n v="199"/>
    <n v="1099"/>
    <n v="82"/>
    <n v="4"/>
    <n v="3197"/>
    <x v="0"/>
  </r>
  <r>
    <s v="B09V175NP7"/>
    <x v="318"/>
    <x v="1"/>
    <n v="1499"/>
    <n v="6990"/>
    <n v="79"/>
    <n v="3.9"/>
    <n v="21796"/>
    <x v="1"/>
  </r>
  <r>
    <s v="B0BD3T6Z1D"/>
    <x v="319"/>
    <x v="1"/>
    <n v="12999"/>
    <n v="13499"/>
    <n v="4"/>
    <n v="4.0999999999999996"/>
    <n v="56098"/>
    <x v="1"/>
  </r>
  <r>
    <s v="B09LHYZ3GJ"/>
    <x v="320"/>
    <x v="1"/>
    <n v="16999"/>
    <n v="20999"/>
    <n v="19"/>
    <n v="4.0999999999999996"/>
    <n v="31822"/>
    <x v="1"/>
  </r>
  <r>
    <s v="B0B6BLTGTT"/>
    <x v="321"/>
    <x v="1"/>
    <n v="2999"/>
    <n v="5999"/>
    <n v="50"/>
    <n v="4.0999999999999996"/>
    <n v="7148"/>
    <x v="1"/>
  </r>
  <r>
    <s v="B084DTMYWK"/>
    <x v="322"/>
    <x v="1"/>
    <n v="329"/>
    <n v="999"/>
    <n v="67"/>
    <n v="4.2"/>
    <n v="3492"/>
    <x v="0"/>
  </r>
  <r>
    <s v="B09LJ116B5"/>
    <x v="323"/>
    <x v="1"/>
    <n v="16999"/>
    <n v="20999"/>
    <n v="19"/>
    <n v="4.0999999999999996"/>
    <n v="31822"/>
    <x v="1"/>
  </r>
  <r>
    <s v="B0BMVWKZ8G"/>
    <x v="324"/>
    <x v="1"/>
    <n v="1999"/>
    <n v="8499"/>
    <n v="76"/>
    <n v="4.3"/>
    <n v="240"/>
    <x v="1"/>
  </r>
  <r>
    <s v="B0BD92GDQH"/>
    <x v="325"/>
    <x v="1"/>
    <n v="4999"/>
    <n v="6999"/>
    <n v="29"/>
    <n v="3.8"/>
    <n v="758"/>
    <x v="1"/>
  </r>
  <r>
    <s v="B0B5GF6DQD"/>
    <x v="326"/>
    <x v="1"/>
    <n v="2499"/>
    <n v="5999"/>
    <n v="58"/>
    <n v="3.7"/>
    <n v="828"/>
    <x v="1"/>
  </r>
  <r>
    <s v="B09NL4DCXK"/>
    <x v="327"/>
    <x v="1"/>
    <n v="249"/>
    <n v="599"/>
    <n v="58"/>
    <n v="3.9"/>
    <n v="2147"/>
    <x v="0"/>
  </r>
  <r>
    <s v="B0B8CHJLWJ"/>
    <x v="328"/>
    <x v="1"/>
    <n v="299"/>
    <n v="1199"/>
    <n v="75"/>
    <n v="4.5"/>
    <n v="596"/>
    <x v="0"/>
  </r>
  <r>
    <s v="B0B8ZWNR5T"/>
    <x v="329"/>
    <x v="1"/>
    <n v="79"/>
    <n v="499"/>
    <n v="84"/>
    <n v="4.2"/>
    <n v="1949"/>
    <x v="2"/>
  </r>
  <r>
    <s v="B0BBFJLP21"/>
    <x v="330"/>
    <x v="1"/>
    <n v="13999"/>
    <n v="15999"/>
    <n v="13"/>
    <n v="3.9"/>
    <n v="2180"/>
    <x v="1"/>
  </r>
  <r>
    <s v="B01F262EUU"/>
    <x v="331"/>
    <x v="1"/>
    <n v="949"/>
    <n v="999"/>
    <n v="5"/>
    <n v="4.2"/>
    <n v="31539"/>
    <x v="0"/>
  </r>
  <r>
    <s v="B09VZBGL1N"/>
    <x v="332"/>
    <x v="1"/>
    <n v="99"/>
    <n v="499"/>
    <n v="80"/>
    <n v="4.0999999999999996"/>
    <n v="2451"/>
    <x v="2"/>
  </r>
  <r>
    <s v="B0B2DJ5RVQ"/>
    <x v="333"/>
    <x v="1"/>
    <n v="689"/>
    <n v="1999"/>
    <n v="66"/>
    <n v="4.3"/>
    <n v="1193"/>
    <x v="0"/>
  </r>
  <r>
    <s v="B096TWZRJC"/>
    <x v="334"/>
    <x v="1"/>
    <n v="499"/>
    <n v="1899"/>
    <n v="74"/>
    <n v="4.0999999999999996"/>
    <n v="1475"/>
    <x v="0"/>
  </r>
  <r>
    <s v="B09GP6FBZT"/>
    <x v="335"/>
    <x v="1"/>
    <n v="299"/>
    <n v="999"/>
    <n v="70"/>
    <n v="4.3"/>
    <n v="8891"/>
    <x v="0"/>
  </r>
  <r>
    <s v="B0B3DV7S9B"/>
    <x v="336"/>
    <x v="1"/>
    <n v="209"/>
    <n v="499"/>
    <n v="58"/>
    <n v="3.6"/>
    <n v="104"/>
    <x v="2"/>
  </r>
  <r>
    <s v="B09MKP344P"/>
    <x v="337"/>
    <x v="1"/>
    <n v="8499"/>
    <n v="12999"/>
    <n v="35"/>
    <n v="4.0999999999999996"/>
    <n v="6662"/>
    <x v="1"/>
  </r>
  <r>
    <s v="B08JW1GVS7"/>
    <x v="338"/>
    <x v="1"/>
    <n v="2179"/>
    <n v="3999"/>
    <n v="46"/>
    <n v="4"/>
    <n v="8380"/>
    <x v="1"/>
  </r>
  <r>
    <s v="B09LHZSMRR"/>
    <x v="339"/>
    <x v="1"/>
    <n v="16999"/>
    <n v="20999"/>
    <n v="19"/>
    <n v="4.0999999999999996"/>
    <n v="31822"/>
    <x v="1"/>
  </r>
  <r>
    <s v="B0B5V47VK4"/>
    <x v="340"/>
    <x v="1"/>
    <n v="44999"/>
    <n v="49999"/>
    <n v="10"/>
    <n v="4.3"/>
    <n v="3075"/>
    <x v="1"/>
  </r>
  <r>
    <s v="B08H21B6V7"/>
    <x v="341"/>
    <x v="1"/>
    <n v="2599"/>
    <n v="2999"/>
    <n v="13"/>
    <n v="3.9"/>
    <n v="14266"/>
    <x v="1"/>
  </r>
  <r>
    <s v="B09BNXQ6BR"/>
    <x v="342"/>
    <x v="1"/>
    <n v="2799"/>
    <n v="6499"/>
    <n v="57"/>
    <n v="4.0999999999999996"/>
    <n v="38879"/>
    <x v="1"/>
  </r>
  <r>
    <s v="B08L5FM4JC"/>
    <x v="343"/>
    <x v="1"/>
    <n v="649"/>
    <n v="2400"/>
    <n v="73"/>
    <n v="4.4000000000000004"/>
    <n v="67260"/>
    <x v="1"/>
  </r>
  <r>
    <s v="B0B54Y2SNX"/>
    <x v="344"/>
    <x v="1"/>
    <n v="799"/>
    <n v="3990"/>
    <n v="80"/>
    <n v="3.8"/>
    <n v="119"/>
    <x v="1"/>
  </r>
  <r>
    <s v="B0B7DHSKS7"/>
    <x v="345"/>
    <x v="1"/>
    <n v="3799"/>
    <n v="5299"/>
    <n v="28"/>
    <n v="3.5"/>
    <n v="1641"/>
    <x v="1"/>
  </r>
  <r>
    <s v="B09SJ1FTYV"/>
    <x v="346"/>
    <x v="1"/>
    <n v="199"/>
    <n v="1899"/>
    <n v="90"/>
    <n v="4"/>
    <n v="4740"/>
    <x v="0"/>
  </r>
  <r>
    <s v="B09XJ5LD6L"/>
    <x v="347"/>
    <x v="1"/>
    <n v="23999"/>
    <n v="32999"/>
    <n v="27"/>
    <n v="3.9"/>
    <n v="8866"/>
    <x v="1"/>
  </r>
  <r>
    <s v="B07WHS7MZ1"/>
    <x v="348"/>
    <x v="1"/>
    <n v="29990"/>
    <n v="39990"/>
    <n v="25"/>
    <n v="4.3"/>
    <n v="8399"/>
    <x v="1"/>
  </r>
  <r>
    <s v="B0BBVKRP7B"/>
    <x v="349"/>
    <x v="1"/>
    <n v="281"/>
    <n v="1999"/>
    <n v="86"/>
    <n v="2.8"/>
    <n v="87"/>
    <x v="0"/>
  </r>
  <r>
    <s v="B09NY7W8YD"/>
    <x v="350"/>
    <x v="1"/>
    <n v="7998"/>
    <n v="11999"/>
    <n v="33"/>
    <n v="3.8"/>
    <n v="125"/>
    <x v="1"/>
  </r>
  <r>
    <s v="B0BMM7R92G"/>
    <x v="351"/>
    <x v="1"/>
    <n v="249"/>
    <n v="999"/>
    <n v="75"/>
    <n v="4.5"/>
    <n v="38"/>
    <x v="0"/>
  </r>
  <r>
    <s v="B08M66K48D"/>
    <x v="352"/>
    <x v="1"/>
    <n v="299"/>
    <n v="599"/>
    <n v="50"/>
    <n v="4.3"/>
    <n v="4674"/>
    <x v="0"/>
  </r>
  <r>
    <s v="B09RFB2SJQ"/>
    <x v="353"/>
    <x v="1"/>
    <n v="499"/>
    <n v="1899"/>
    <n v="74"/>
    <n v="4.0999999999999996"/>
    <n v="412"/>
    <x v="0"/>
  </r>
  <r>
    <s v="B0B82YGCF6"/>
    <x v="354"/>
    <x v="1"/>
    <n v="899"/>
    <n v="3499"/>
    <n v="74"/>
    <n v="3"/>
    <n v="681"/>
    <x v="1"/>
  </r>
  <r>
    <s v="B08HF4W2CT"/>
    <x v="355"/>
    <x v="1"/>
    <n v="1599"/>
    <n v="3499"/>
    <n v="54"/>
    <n v="4"/>
    <n v="36384"/>
    <x v="1"/>
  </r>
  <r>
    <s v="B0B2X35B1K"/>
    <x v="356"/>
    <x v="1"/>
    <n v="3999"/>
    <n v="6999"/>
    <n v="43"/>
    <n v="4.0999999999999996"/>
    <n v="10229"/>
    <x v="1"/>
  </r>
  <r>
    <s v="B09QS9CWLV"/>
    <x v="357"/>
    <x v="1"/>
    <n v="12999"/>
    <n v="18999"/>
    <n v="32"/>
    <n v="4.0999999999999996"/>
    <n v="50772"/>
    <x v="1"/>
  </r>
  <r>
    <s v="B0B1NX6JTN"/>
    <x v="358"/>
    <x v="1"/>
    <n v="1599"/>
    <n v="2599"/>
    <n v="38"/>
    <n v="4.3"/>
    <n v="1801"/>
    <x v="1"/>
  </r>
  <r>
    <s v="B0BBW521YC"/>
    <x v="359"/>
    <x v="1"/>
    <n v="99"/>
    <n v="999"/>
    <n v="90"/>
    <n v="4.4000000000000004"/>
    <n v="305"/>
    <x v="0"/>
  </r>
  <r>
    <s v="B09HSKYMB3"/>
    <x v="360"/>
    <x v="1"/>
    <n v="7915"/>
    <n v="9999"/>
    <n v="21"/>
    <n v="4.3"/>
    <n v="1376"/>
    <x v="1"/>
  </r>
  <r>
    <s v="B09YV42QHZ"/>
    <x v="361"/>
    <x v="1"/>
    <n v="1499"/>
    <n v="7999"/>
    <n v="81"/>
    <n v="4.2"/>
    <n v="22638"/>
    <x v="1"/>
  </r>
  <r>
    <s v="B09BF8JBWX"/>
    <x v="362"/>
    <x v="1"/>
    <n v="1055"/>
    <n v="1249"/>
    <n v="16"/>
    <n v="3.8"/>
    <n v="2352"/>
    <x v="0"/>
  </r>
  <r>
    <s v="B0B5YBGCKD"/>
    <x v="363"/>
    <x v="1"/>
    <n v="150"/>
    <n v="599"/>
    <n v="75"/>
    <n v="4.3"/>
    <n v="714"/>
    <x v="0"/>
  </r>
  <r>
    <s v="B09T37CKQ5"/>
    <x v="364"/>
    <x v="1"/>
    <n v="239"/>
    <n v="599"/>
    <n v="60"/>
    <n v="3.9"/>
    <n v="2147"/>
    <x v="0"/>
  </r>
  <r>
    <s v="B0B298D54H"/>
    <x v="365"/>
    <x v="1"/>
    <n v="265"/>
    <n v="999"/>
    <n v="73"/>
    <n v="3.7"/>
    <n v="465"/>
    <x v="0"/>
  </r>
  <r>
    <s v="B08VB57558"/>
    <x v="366"/>
    <x v="1"/>
    <n v="37990"/>
    <n v="74999"/>
    <n v="49"/>
    <n v="4.2"/>
    <n v="27790"/>
    <x v="1"/>
  </r>
  <r>
    <s v="B09NY6TRXG"/>
    <x v="367"/>
    <x v="1"/>
    <n v="8499"/>
    <n v="11999"/>
    <n v="29"/>
    <n v="3.9"/>
    <n v="276"/>
    <x v="1"/>
  </r>
  <r>
    <s v="B09NVPJ3P4"/>
    <x v="368"/>
    <x v="1"/>
    <n v="1999"/>
    <n v="3999"/>
    <n v="50"/>
    <n v="4"/>
    <n v="30254"/>
    <x v="1"/>
  </r>
  <r>
    <s v="B09VGKFM7Y"/>
    <x v="369"/>
    <x v="1"/>
    <n v="219"/>
    <n v="499"/>
    <n v="56"/>
    <n v="4.4000000000000004"/>
    <n v="14"/>
    <x v="2"/>
  </r>
  <r>
    <s v="B07QCWY5XV"/>
    <x v="370"/>
    <x v="1"/>
    <n v="599"/>
    <n v="1399"/>
    <n v="57"/>
    <n v="4.0999999999999996"/>
    <n v="14560"/>
    <x v="0"/>
  </r>
  <r>
    <s v="B098QXR9X2"/>
    <x v="371"/>
    <x v="1"/>
    <n v="2499"/>
    <n v="2999"/>
    <n v="17"/>
    <n v="4.0999999999999996"/>
    <n v="3156"/>
    <x v="1"/>
  </r>
  <r>
    <s v="B07H1S7XW8"/>
    <x v="372"/>
    <x v="1"/>
    <n v="89"/>
    <n v="499"/>
    <n v="82"/>
    <n v="4.0999999999999996"/>
    <n v="9340"/>
    <x v="2"/>
  </r>
  <r>
    <s v="B0BNXFDTZ2"/>
    <x v="373"/>
    <x v="1"/>
    <n v="2999"/>
    <n v="11999"/>
    <n v="75"/>
    <n v="4.4000000000000004"/>
    <n v="768"/>
    <x v="1"/>
  </r>
  <r>
    <s v="B088ZFJY82"/>
    <x v="374"/>
    <x v="1"/>
    <n v="314"/>
    <n v="1499"/>
    <n v="79"/>
    <n v="4.5"/>
    <n v="28978"/>
    <x v="0"/>
  </r>
  <r>
    <s v="B0B4F4QZ1H"/>
    <x v="375"/>
    <x v="1"/>
    <n v="13999"/>
    <n v="19499"/>
    <n v="28"/>
    <n v="4.0999999999999996"/>
    <n v="18998"/>
    <x v="1"/>
  </r>
  <r>
    <s v="B09BCNQ9R2"/>
    <x v="376"/>
    <x v="1"/>
    <n v="139"/>
    <n v="499"/>
    <n v="72"/>
    <n v="4.2"/>
    <n v="4971"/>
    <x v="2"/>
  </r>
  <r>
    <s v="B071Z8M4KX"/>
    <x v="377"/>
    <x v="1"/>
    <n v="365"/>
    <n v="999"/>
    <n v="63"/>
    <n v="4.0999999999999996"/>
    <n v="363711"/>
    <x v="0"/>
  </r>
  <r>
    <s v="B09N3ZNHTY"/>
    <x v="378"/>
    <x v="1"/>
    <n v="1499"/>
    <n v="4490"/>
    <n v="67"/>
    <n v="3.9"/>
    <n v="136954"/>
    <x v="1"/>
  </r>
  <r>
    <s v="B005FYNT3G"/>
    <x v="379"/>
    <x v="0"/>
    <n v="289"/>
    <n v="650"/>
    <n v="56"/>
    <n v="4.3"/>
    <n v="253105"/>
    <x v="0"/>
  </r>
  <r>
    <s v="B01J0XWYKQ"/>
    <x v="380"/>
    <x v="0"/>
    <n v="599"/>
    <n v="895"/>
    <n v="33"/>
    <n v="4.4000000000000004"/>
    <n v="61314"/>
    <x v="0"/>
  </r>
  <r>
    <s v="B09CTRPSJR"/>
    <x v="381"/>
    <x v="0"/>
    <n v="217"/>
    <n v="237"/>
    <n v="8"/>
    <n v="3.8"/>
    <n v="7354"/>
    <x v="2"/>
  </r>
  <r>
    <s v="B08JQN8DGZ"/>
    <x v="382"/>
    <x v="1"/>
    <n v="1299"/>
    <n v="2990"/>
    <n v="57"/>
    <n v="3.8"/>
    <n v="180998"/>
    <x v="1"/>
  </r>
  <r>
    <s v="B0B72BSW7K"/>
    <x v="383"/>
    <x v="0"/>
    <n v="263"/>
    <n v="699"/>
    <n v="62"/>
    <n v="3.5"/>
    <n v="690"/>
    <x v="0"/>
  </r>
  <r>
    <s v="B08TV2P1N8"/>
    <x v="384"/>
    <x v="1"/>
    <n v="1399"/>
    <n v="3990"/>
    <n v="65"/>
    <n v="4.0999999999999996"/>
    <n v="141841"/>
    <x v="1"/>
  </r>
  <r>
    <s v="B07XCM6T4N"/>
    <x v="385"/>
    <x v="0"/>
    <n v="349"/>
    <n v="1499"/>
    <n v="77"/>
    <n v="4.3"/>
    <n v="24791"/>
    <x v="0"/>
  </r>
  <r>
    <s v="B07T5DKR5D"/>
    <x v="386"/>
    <x v="1"/>
    <n v="149"/>
    <n v="399"/>
    <n v="63"/>
    <n v="3.5"/>
    <n v="21764"/>
    <x v="2"/>
  </r>
  <r>
    <s v="B07PR1CL3S"/>
    <x v="387"/>
    <x v="1"/>
    <n v="1220"/>
    <n v="3990"/>
    <n v="69"/>
    <n v="4.0999999999999996"/>
    <n v="107151"/>
    <x v="1"/>
  </r>
  <r>
    <s v="B07JQKQ91F"/>
    <x v="388"/>
    <x v="1"/>
    <n v="499"/>
    <n v="999"/>
    <n v="50"/>
    <n v="3.9"/>
    <n v="92995"/>
    <x v="0"/>
  </r>
  <r>
    <s v="B08W56G1K9"/>
    <x v="389"/>
    <x v="0"/>
    <n v="99"/>
    <n v="999"/>
    <n v="90"/>
    <n v="4.0999999999999996"/>
    <n v="8751"/>
    <x v="0"/>
  </r>
  <r>
    <s v="B01L8ZNWN2"/>
    <x v="390"/>
    <x v="0"/>
    <n v="475"/>
    <n v="1500"/>
    <n v="68"/>
    <n v="4.2"/>
    <n v="64273"/>
    <x v="0"/>
  </r>
  <r>
    <s v="B009VCGPSY"/>
    <x v="391"/>
    <x v="0"/>
    <n v="269"/>
    <n v="649"/>
    <n v="59"/>
    <n v="4.3"/>
    <n v="54315"/>
    <x v="0"/>
  </r>
  <r>
    <s v="B0B296NTFV"/>
    <x v="392"/>
    <x v="0"/>
    <n v="299"/>
    <n v="599"/>
    <n v="50"/>
    <n v="4.0999999999999996"/>
    <n v="1597"/>
    <x v="0"/>
  </r>
  <r>
    <s v="B07TCN5VR9"/>
    <x v="393"/>
    <x v="1"/>
    <n v="329"/>
    <n v="999"/>
    <n v="67"/>
    <n v="3.9"/>
    <n v="77027"/>
    <x v="0"/>
  </r>
  <r>
    <s v="B00ZYLMQH0"/>
    <x v="394"/>
    <x v="0"/>
    <n v="549"/>
    <n v="1799"/>
    <n v="69"/>
    <n v="4.3"/>
    <n v="28829"/>
    <x v="0"/>
  </r>
  <r>
    <s v="B01HJI0FS2"/>
    <x v="395"/>
    <x v="0"/>
    <n v="299"/>
    <n v="650"/>
    <n v="54"/>
    <n v="4.5"/>
    <n v="33176"/>
    <x v="0"/>
  </r>
  <r>
    <s v="B076B8G5D8"/>
    <x v="396"/>
    <x v="2"/>
    <n v="798"/>
    <n v="1995"/>
    <n v="60"/>
    <n v="4"/>
    <n v="68664"/>
    <x v="0"/>
  </r>
  <r>
    <s v="B014SZO90Y"/>
    <x v="397"/>
    <x v="1"/>
    <n v="266"/>
    <n v="315"/>
    <n v="16"/>
    <n v="4.5"/>
    <n v="28030"/>
    <x v="2"/>
  </r>
  <r>
    <s v="B07KCMR8D6"/>
    <x v="398"/>
    <x v="3"/>
    <n v="50"/>
    <n v="50"/>
    <n v="0"/>
    <n v="4.3"/>
    <n v="5792"/>
    <x v="2"/>
  </r>
  <r>
    <s v="B00N1U9AJS"/>
    <x v="399"/>
    <x v="4"/>
    <n v="130"/>
    <n v="165"/>
    <n v="21"/>
    <n v="3.9"/>
    <n v="14778"/>
    <x v="2"/>
  </r>
  <r>
    <s v="B07KY3FNQP"/>
    <x v="400"/>
    <x v="1"/>
    <n v="449"/>
    <n v="1290"/>
    <n v="65"/>
    <n v="4.0999999999999996"/>
    <n v="91770"/>
    <x v="0"/>
  </r>
  <r>
    <s v="B07QZ3CZ48"/>
    <x v="401"/>
    <x v="1"/>
    <n v="399"/>
    <n v="1290"/>
    <n v="69"/>
    <n v="4.2"/>
    <n v="206"/>
    <x v="0"/>
  </r>
  <r>
    <s v="B09T3H12GV"/>
    <x v="402"/>
    <x v="0"/>
    <n v="1399"/>
    <n v="2498"/>
    <n v="44"/>
    <n v="4.2"/>
    <n v="33717"/>
    <x v="1"/>
  </r>
  <r>
    <s v="B08ZJDWTJ1"/>
    <x v="403"/>
    <x v="0"/>
    <n v="4098"/>
    <n v="4999"/>
    <n v="18"/>
    <n v="4.5"/>
    <n v="50810"/>
    <x v="1"/>
  </r>
  <r>
    <s v="B08FTFXNNB"/>
    <x v="404"/>
    <x v="1"/>
    <n v="499"/>
    <n v="1999"/>
    <n v="75"/>
    <n v="3.7"/>
    <n v="3369"/>
    <x v="0"/>
  </r>
  <r>
    <s v="B08YDFX7Y1"/>
    <x v="405"/>
    <x v="0"/>
    <n v="299"/>
    <n v="449"/>
    <n v="33"/>
    <n v="3.5"/>
    <n v="11827"/>
    <x v="2"/>
  </r>
  <r>
    <s v="B087FXHB6J"/>
    <x v="406"/>
    <x v="0"/>
    <n v="699"/>
    <n v="999"/>
    <n v="30"/>
    <n v="3.5"/>
    <n v="15295"/>
    <x v="0"/>
  </r>
  <r>
    <s v="B07N42JB4S"/>
    <x v="407"/>
    <x v="1"/>
    <n v="799"/>
    <n v="3990"/>
    <n v="80"/>
    <n v="4.3"/>
    <n v="27139"/>
    <x v="1"/>
  </r>
  <r>
    <s v="B0B31BYXQQ"/>
    <x v="408"/>
    <x v="1"/>
    <n v="1399"/>
    <n v="5499"/>
    <n v="75"/>
    <n v="3.9"/>
    <n v="9504"/>
    <x v="1"/>
  </r>
  <r>
    <s v="B07SLMR1K6"/>
    <x v="409"/>
    <x v="0"/>
    <n v="519"/>
    <n v="1350"/>
    <n v="62"/>
    <n v="4.3"/>
    <n v="30058"/>
    <x v="0"/>
  </r>
  <r>
    <s v="B092X94QNQ"/>
    <x v="410"/>
    <x v="1"/>
    <n v="1499"/>
    <n v="3990"/>
    <n v="62"/>
    <n v="4.0999999999999996"/>
    <n v="109864"/>
    <x v="1"/>
  </r>
  <r>
    <s v="B0846D5CBP"/>
    <x v="411"/>
    <x v="3"/>
    <n v="1295"/>
    <n v="1295"/>
    <n v="0"/>
    <n v="4.5"/>
    <n v="5760"/>
    <x v="0"/>
  </r>
  <r>
    <s v="B00KXULGJQ"/>
    <x v="412"/>
    <x v="0"/>
    <n v="1889"/>
    <n v="5499"/>
    <n v="66"/>
    <n v="4.2"/>
    <n v="49551"/>
    <x v="1"/>
  </r>
  <r>
    <s v="B08LPJZSSW"/>
    <x v="413"/>
    <x v="1"/>
    <n v="399"/>
    <n v="995"/>
    <n v="60"/>
    <n v="3.9"/>
    <n v="21372"/>
    <x v="0"/>
  </r>
  <r>
    <s v="B08CYPB15D"/>
    <x v="414"/>
    <x v="0"/>
    <n v="717"/>
    <n v="761"/>
    <n v="6"/>
    <n v="4"/>
    <n v="7199"/>
    <x v="0"/>
  </r>
  <r>
    <s v="B00MFPCY5C"/>
    <x v="415"/>
    <x v="0"/>
    <n v="39"/>
    <n v="299"/>
    <n v="87"/>
    <n v="3.5"/>
    <n v="15233"/>
    <x v="2"/>
  </r>
  <r>
    <s v="B07JJFSG2B"/>
    <x v="416"/>
    <x v="0"/>
    <n v="889"/>
    <n v="2500"/>
    <n v="64"/>
    <n v="4.3"/>
    <n v="55747"/>
    <x v="1"/>
  </r>
  <r>
    <s v="B09NR6G588"/>
    <x v="417"/>
    <x v="1"/>
    <n v="1199"/>
    <n v="4999"/>
    <n v="76"/>
    <n v="3.8"/>
    <n v="14961"/>
    <x v="1"/>
  </r>
  <r>
    <s v="B07JPX9CR7"/>
    <x v="418"/>
    <x v="0"/>
    <n v="569"/>
    <n v="1299"/>
    <n v="56"/>
    <n v="4.4000000000000004"/>
    <n v="9275"/>
    <x v="0"/>
  </r>
  <r>
    <s v="B08D11DZ2W"/>
    <x v="419"/>
    <x v="1"/>
    <n v="1499"/>
    <n v="8999"/>
    <n v="83"/>
    <n v="3.7"/>
    <n v="28324"/>
    <x v="1"/>
  </r>
  <r>
    <s v="B07Q7561HD"/>
    <x v="420"/>
    <x v="1"/>
    <n v="149"/>
    <n v="180"/>
    <n v="17"/>
    <n v="4.4000000000000004"/>
    <n v="644"/>
    <x v="2"/>
  </r>
  <r>
    <s v="B0819HZPXL"/>
    <x v="421"/>
    <x v="0"/>
    <n v="399"/>
    <n v="549"/>
    <n v="27"/>
    <n v="4.4000000000000004"/>
    <n v="18139"/>
    <x v="0"/>
  </r>
  <r>
    <s v="B00LXTFMRS"/>
    <x v="422"/>
    <x v="4"/>
    <n v="191"/>
    <n v="225"/>
    <n v="15"/>
    <n v="4.4000000000000004"/>
    <n v="7203"/>
    <x v="2"/>
  </r>
  <r>
    <s v="B0B9LDCX89"/>
    <x v="423"/>
    <x v="0"/>
    <n v="129"/>
    <n v="999"/>
    <n v="87"/>
    <n v="4.2"/>
    <n v="491"/>
    <x v="0"/>
  </r>
  <r>
    <s v="B0765B3TH7"/>
    <x v="424"/>
    <x v="0"/>
    <n v="199"/>
    <n v="599"/>
    <n v="67"/>
    <n v="4.5"/>
    <n v="13568"/>
    <x v="0"/>
  </r>
  <r>
    <s v="B0B1F6GQPS"/>
    <x v="425"/>
    <x v="1"/>
    <n v="999"/>
    <n v="4499"/>
    <n v="78"/>
    <n v="3.8"/>
    <n v="3390"/>
    <x v="1"/>
  </r>
  <r>
    <s v="B07LG59NPV"/>
    <x v="426"/>
    <x v="1"/>
    <n v="899"/>
    <n v="4499"/>
    <n v="80"/>
    <n v="3.8"/>
    <n v="103052"/>
    <x v="1"/>
  </r>
  <r>
    <s v="B00AXHBBXU"/>
    <x v="427"/>
    <x v="3"/>
    <n v="522"/>
    <n v="550"/>
    <n v="5"/>
    <n v="4.4000000000000004"/>
    <n v="12179"/>
    <x v="0"/>
  </r>
  <r>
    <s v="B08MCD9JFY"/>
    <x v="428"/>
    <x v="1"/>
    <n v="799"/>
    <n v="1999"/>
    <n v="60"/>
    <n v="3.8"/>
    <n v="12958"/>
    <x v="0"/>
  </r>
  <r>
    <s v="B083RCTXLL"/>
    <x v="429"/>
    <x v="0"/>
    <n v="681"/>
    <n v="1199"/>
    <n v="43"/>
    <n v="4.2"/>
    <n v="8258"/>
    <x v="0"/>
  </r>
  <r>
    <s v="B08HLZ28QC"/>
    <x v="430"/>
    <x v="0"/>
    <n v="1199"/>
    <n v="3490"/>
    <n v="66"/>
    <n v="4.0999999999999996"/>
    <n v="11716"/>
    <x v="1"/>
  </r>
  <r>
    <s v="B07GVR9TG7"/>
    <x v="431"/>
    <x v="0"/>
    <n v="2499"/>
    <n v="4999"/>
    <n v="50"/>
    <n v="4.4000000000000004"/>
    <n v="35024"/>
    <x v="1"/>
  </r>
  <r>
    <s v="B0856HY85J"/>
    <x v="432"/>
    <x v="1"/>
    <n v="1799"/>
    <n v="4999"/>
    <n v="64"/>
    <n v="4.0999999999999996"/>
    <n v="55192"/>
    <x v="1"/>
  </r>
  <r>
    <s v="B07CD2BN46"/>
    <x v="433"/>
    <x v="1"/>
    <n v="429"/>
    <n v="599"/>
    <n v="28"/>
    <n v="4.0999999999999996"/>
    <n v="119466"/>
    <x v="0"/>
  </r>
  <r>
    <s v="B07PLHTTB4"/>
    <x v="434"/>
    <x v="0"/>
    <n v="100"/>
    <n v="499"/>
    <n v="80"/>
    <n v="3.5"/>
    <n v="9638"/>
    <x v="2"/>
  </r>
  <r>
    <s v="B077T3BG5L"/>
    <x v="435"/>
    <x v="0"/>
    <n v="329"/>
    <n v="399"/>
    <n v="18"/>
    <n v="3.6"/>
    <n v="33735"/>
    <x v="2"/>
  </r>
  <r>
    <s v="B079Y6JZC8"/>
    <x v="436"/>
    <x v="0"/>
    <n v="139"/>
    <n v="299"/>
    <n v="54"/>
    <n v="3.8"/>
    <n v="3044"/>
    <x v="2"/>
  </r>
  <r>
    <s v="B0856HNMR7"/>
    <x v="437"/>
    <x v="1"/>
    <n v="1199"/>
    <n v="2499"/>
    <n v="52"/>
    <n v="4"/>
    <n v="33584"/>
    <x v="1"/>
  </r>
  <r>
    <s v="B0B12K5BPM"/>
    <x v="438"/>
    <x v="1"/>
    <n v="1049"/>
    <n v="2299"/>
    <n v="54"/>
    <n v="3.9"/>
    <n v="1779"/>
    <x v="1"/>
  </r>
  <r>
    <s v="B00LVMTA2A"/>
    <x v="439"/>
    <x v="1"/>
    <n v="225"/>
    <n v="250"/>
    <n v="10"/>
    <n v="4.4000000000000004"/>
    <n v="26556"/>
    <x v="2"/>
  </r>
  <r>
    <s v="B07TR5HSR9"/>
    <x v="440"/>
    <x v="0"/>
    <n v="656"/>
    <n v="1499"/>
    <n v="56"/>
    <n v="4.3"/>
    <n v="25903"/>
    <x v="0"/>
  </r>
  <r>
    <s v="B0819ZZK5K"/>
    <x v="441"/>
    <x v="0"/>
    <n v="1109"/>
    <n v="2800"/>
    <n v="60"/>
    <n v="4.3"/>
    <n v="53464"/>
    <x v="1"/>
  </r>
  <r>
    <s v="B08QJJCY2Q"/>
    <x v="442"/>
    <x v="0"/>
    <n v="169"/>
    <n v="299"/>
    <n v="43"/>
    <n v="4.4000000000000004"/>
    <n v="5176"/>
    <x v="2"/>
  </r>
  <r>
    <s v="B07L5L4GTB"/>
    <x v="443"/>
    <x v="0"/>
    <n v="309"/>
    <n v="404"/>
    <n v="24"/>
    <n v="4.4000000000000004"/>
    <n v="8614"/>
    <x v="2"/>
  </r>
  <r>
    <s v="B07L8KNP5F"/>
    <x v="444"/>
    <x v="1"/>
    <n v="599"/>
    <n v="1399"/>
    <n v="57"/>
    <n v="3.8"/>
    <n v="60026"/>
    <x v="0"/>
  </r>
  <r>
    <s v="B08CF4SCNP"/>
    <x v="445"/>
    <x v="0"/>
    <n v="299"/>
    <n v="599"/>
    <n v="50"/>
    <n v="3.8"/>
    <n v="3066"/>
    <x v="0"/>
  </r>
  <r>
    <s v="B09XX51X2G"/>
    <x v="446"/>
    <x v="0"/>
    <n v="449"/>
    <n v="999"/>
    <n v="55"/>
    <n v="4"/>
    <n v="2102"/>
    <x v="0"/>
  </r>
  <r>
    <s v="B01M72LILF"/>
    <x v="447"/>
    <x v="0"/>
    <n v="799"/>
    <n v="1295"/>
    <n v="38"/>
    <n v="4.4000000000000004"/>
    <n v="34852"/>
    <x v="0"/>
  </r>
  <r>
    <s v="B00LZLQ624"/>
    <x v="448"/>
    <x v="3"/>
    <n v="157"/>
    <n v="160"/>
    <n v="2"/>
    <n v="4.5"/>
    <n v="8618"/>
    <x v="2"/>
  </r>
  <r>
    <s v="B09GB5B4BK"/>
    <x v="449"/>
    <x v="0"/>
    <n v="599"/>
    <n v="899"/>
    <n v="33"/>
    <n v="4"/>
    <n v="4018"/>
    <x v="0"/>
  </r>
  <r>
    <s v="B015ZXUDD0"/>
    <x v="450"/>
    <x v="1"/>
    <n v="479"/>
    <n v="599"/>
    <n v="20"/>
    <n v="4.3"/>
    <n v="11687"/>
    <x v="0"/>
  </r>
  <r>
    <s v="B09PL79D2X"/>
    <x v="451"/>
    <x v="1"/>
    <n v="1598"/>
    <n v="2990"/>
    <n v="47"/>
    <n v="3.8"/>
    <n v="11015"/>
    <x v="1"/>
  </r>
  <r>
    <s v="B098K3H92Z"/>
    <x v="452"/>
    <x v="0"/>
    <n v="599"/>
    <n v="899"/>
    <n v="33"/>
    <n v="4.3"/>
    <n v="95116"/>
    <x v="0"/>
  </r>
  <r>
    <s v="B084PJSSQ1"/>
    <x v="453"/>
    <x v="0"/>
    <n v="1299"/>
    <n v="3000"/>
    <n v="57"/>
    <n v="4.3"/>
    <n v="23022"/>
    <x v="1"/>
  </r>
  <r>
    <s v="B097C564GC"/>
    <x v="454"/>
    <x v="0"/>
    <n v="294"/>
    <n v="4999"/>
    <n v="94"/>
    <n v="4.3"/>
    <n v="4426"/>
    <x v="1"/>
  </r>
  <r>
    <s v="B08CYNJ5KY"/>
    <x v="455"/>
    <x v="0"/>
    <n v="828"/>
    <n v="861"/>
    <n v="4"/>
    <n v="4.2"/>
    <n v="4567"/>
    <x v="0"/>
  </r>
  <r>
    <s v="B00Y4ORQ46"/>
    <x v="456"/>
    <x v="1"/>
    <n v="745"/>
    <n v="795"/>
    <n v="6"/>
    <n v="4"/>
    <n v="13797"/>
    <x v="0"/>
  </r>
  <r>
    <s v="B074CWD7MS"/>
    <x v="457"/>
    <x v="1"/>
    <n v="1549"/>
    <n v="2495"/>
    <n v="38"/>
    <n v="4.4000000000000004"/>
    <n v="15137"/>
    <x v="1"/>
  </r>
  <r>
    <s v="B00A0VCJPI"/>
    <x v="458"/>
    <x v="0"/>
    <n v="1469"/>
    <n v="2499"/>
    <n v="41"/>
    <n v="4.2"/>
    <n v="156638"/>
    <x v="1"/>
  </r>
  <r>
    <s v="B00UGZWM2I"/>
    <x v="459"/>
    <x v="3"/>
    <n v="198"/>
    <n v="800"/>
    <n v="75"/>
    <n v="4.0999999999999996"/>
    <n v="9344"/>
    <x v="0"/>
  </r>
  <r>
    <s v="B00R1P3B4O"/>
    <x v="460"/>
    <x v="1"/>
    <n v="549"/>
    <n v="549"/>
    <n v="0"/>
    <n v="4.5"/>
    <n v="4875"/>
    <x v="0"/>
  </r>
  <r>
    <s v="B09DG9VNWB"/>
    <x v="461"/>
    <x v="1"/>
    <n v="12000"/>
    <n v="29999"/>
    <n v="60"/>
    <n v="4.3"/>
    <n v="4744"/>
    <x v="1"/>
  </r>
  <r>
    <s v="B09Y5MP7C4"/>
    <x v="462"/>
    <x v="1"/>
    <n v="1299"/>
    <n v="3499"/>
    <n v="63"/>
    <n v="3.9"/>
    <n v="12452"/>
    <x v="1"/>
  </r>
  <r>
    <s v="B01DJJVFPC"/>
    <x v="463"/>
    <x v="1"/>
    <n v="269"/>
    <n v="315"/>
    <n v="15"/>
    <n v="4.5"/>
    <n v="17810"/>
    <x v="2"/>
  </r>
  <r>
    <s v="B07DFYJRQV"/>
    <x v="464"/>
    <x v="1"/>
    <n v="799"/>
    <n v="1499"/>
    <n v="47"/>
    <n v="4.0999999999999996"/>
    <n v="53648"/>
    <x v="0"/>
  </r>
  <r>
    <s v="B08L879JSN"/>
    <x v="465"/>
    <x v="0"/>
    <n v="6299"/>
    <n v="13750"/>
    <n v="54"/>
    <n v="4.2"/>
    <n v="2014"/>
    <x v="1"/>
  </r>
  <r>
    <s v="B06XSK3XL6"/>
    <x v="466"/>
    <x v="1"/>
    <n v="571"/>
    <n v="999"/>
    <n v="43"/>
    <n v="4.3"/>
    <n v="38221"/>
    <x v="0"/>
  </r>
  <r>
    <s v="B07YNTJ8ZM"/>
    <x v="467"/>
    <x v="1"/>
    <n v="549"/>
    <n v="999"/>
    <n v="45"/>
    <n v="3.9"/>
    <n v="64705"/>
    <x v="0"/>
  </r>
  <r>
    <s v="B07KR5P3YD"/>
    <x v="468"/>
    <x v="0"/>
    <n v="448"/>
    <n v="699"/>
    <n v="36"/>
    <n v="3.9"/>
    <n v="17348"/>
    <x v="0"/>
  </r>
  <r>
    <s v="B08FB2LNSZ"/>
    <x v="469"/>
    <x v="1"/>
    <n v="1499"/>
    <n v="2999"/>
    <n v="50"/>
    <n v="3.7"/>
    <n v="87798"/>
    <x v="1"/>
  </r>
  <r>
    <s v="B01IBRHE3E"/>
    <x v="470"/>
    <x v="1"/>
    <n v="299"/>
    <n v="499"/>
    <n v="40"/>
    <n v="4.2"/>
    <n v="24432"/>
    <x v="2"/>
  </r>
  <r>
    <s v="B01N6LU1VF"/>
    <x v="471"/>
    <x v="0"/>
    <n v="579"/>
    <n v="1400"/>
    <n v="59"/>
    <n v="4.3"/>
    <n v="189104"/>
    <x v="0"/>
  </r>
  <r>
    <s v="B07XLML2YS"/>
    <x v="472"/>
    <x v="1"/>
    <n v="2499"/>
    <n v="3299"/>
    <n v="24"/>
    <n v="4.2"/>
    <n v="93112"/>
    <x v="1"/>
  </r>
  <r>
    <s v="B086WMSCN3"/>
    <x v="473"/>
    <x v="1"/>
    <n v="1199"/>
    <n v="5999"/>
    <n v="80"/>
    <n v="3.9"/>
    <n v="47521"/>
    <x v="1"/>
  </r>
  <r>
    <s v="B003B00484"/>
    <x v="474"/>
    <x v="1"/>
    <n v="399"/>
    <n v="499"/>
    <n v="20"/>
    <n v="4.3"/>
    <n v="27201"/>
    <x v="2"/>
  </r>
  <r>
    <s v="B003L62T7W"/>
    <x v="475"/>
    <x v="0"/>
    <n v="279"/>
    <n v="375"/>
    <n v="26"/>
    <n v="4.3"/>
    <n v="31534"/>
    <x v="2"/>
  </r>
  <r>
    <s v="B09P18XVW6"/>
    <x v="476"/>
    <x v="1"/>
    <n v="2499"/>
    <n v="4999"/>
    <n v="50"/>
    <n v="3.9"/>
    <n v="7571"/>
    <x v="1"/>
  </r>
  <r>
    <s v="B00LZLPYHW"/>
    <x v="477"/>
    <x v="3"/>
    <n v="137"/>
    <n v="160"/>
    <n v="14"/>
    <n v="4.4000000000000004"/>
    <n v="6537"/>
    <x v="2"/>
  </r>
  <r>
    <s v="B00NNQMYNE"/>
    <x v="478"/>
    <x v="0"/>
    <n v="299"/>
    <n v="499"/>
    <n v="40"/>
    <n v="4.5"/>
    <n v="21010"/>
    <x v="2"/>
  </r>
  <r>
    <s v="B0B217Z5VK"/>
    <x v="479"/>
    <x v="1"/>
    <n v="1799"/>
    <n v="3999"/>
    <n v="55"/>
    <n v="3.9"/>
    <n v="3517"/>
    <x v="1"/>
  </r>
  <r>
    <s v="B07B88KQZ8"/>
    <x v="480"/>
    <x v="1"/>
    <n v="1999"/>
    <n v="2999"/>
    <n v="33"/>
    <n v="4.3"/>
    <n v="63899"/>
    <x v="1"/>
  </r>
  <r>
    <s v="B07Z3K96FR"/>
    <x v="481"/>
    <x v="0"/>
    <n v="399"/>
    <n v="1499"/>
    <n v="73"/>
    <n v="4.0999999999999996"/>
    <n v="5730"/>
    <x v="0"/>
  </r>
  <r>
    <s v="B0756CLQWL"/>
    <x v="482"/>
    <x v="0"/>
    <n v="1699"/>
    <n v="3999"/>
    <n v="58"/>
    <n v="4.2"/>
    <n v="25488"/>
    <x v="1"/>
  </r>
  <r>
    <s v="B004IO5BMQ"/>
    <x v="483"/>
    <x v="0"/>
    <n v="699"/>
    <n v="995"/>
    <n v="30"/>
    <n v="4.5"/>
    <n v="54405"/>
    <x v="0"/>
  </r>
  <r>
    <s v="B01HGCLUH6"/>
    <x v="484"/>
    <x v="0"/>
    <n v="1149"/>
    <n v="1699"/>
    <n v="32"/>
    <n v="4.2"/>
    <n v="122478"/>
    <x v="0"/>
  </r>
  <r>
    <s v="B01N4EV2TL"/>
    <x v="485"/>
    <x v="0"/>
    <n v="1495"/>
    <n v="1995"/>
    <n v="25"/>
    <n v="4.3"/>
    <n v="7241"/>
    <x v="0"/>
  </r>
  <r>
    <s v="B08MZQBFLN"/>
    <x v="486"/>
    <x v="0"/>
    <n v="849"/>
    <n v="4999"/>
    <n v="83"/>
    <n v="4"/>
    <n v="20457"/>
    <x v="1"/>
  </r>
  <r>
    <s v="B0752LL57V"/>
    <x v="487"/>
    <x v="3"/>
    <n v="440"/>
    <n v="440"/>
    <n v="0"/>
    <n v="4.5"/>
    <n v="8610"/>
    <x v="2"/>
  </r>
  <r>
    <s v="B09Z28BQZT"/>
    <x v="488"/>
    <x v="0"/>
    <n v="599"/>
    <n v="3999"/>
    <n v="85"/>
    <n v="3.9"/>
    <n v="1087"/>
    <x v="1"/>
  </r>
  <r>
    <s v="B094DQWV9B"/>
    <x v="489"/>
    <x v="0"/>
    <n v="149"/>
    <n v="399"/>
    <n v="63"/>
    <n v="4"/>
    <n v="1540"/>
    <x v="2"/>
  </r>
  <r>
    <s v="B0BBMPH39N"/>
    <x v="490"/>
    <x v="0"/>
    <n v="289"/>
    <n v="999"/>
    <n v="71"/>
    <n v="4.0999999999999996"/>
    <n v="401"/>
    <x v="0"/>
  </r>
  <r>
    <s v="B097JQ1J5G"/>
    <x v="491"/>
    <x v="0"/>
    <n v="179"/>
    <n v="499"/>
    <n v="64"/>
    <n v="3.4"/>
    <n v="9385"/>
    <x v="2"/>
  </r>
  <r>
    <s v="B07YY1BY5B"/>
    <x v="492"/>
    <x v="1"/>
    <n v="1499"/>
    <n v="4999"/>
    <n v="70"/>
    <n v="4"/>
    <n v="92588"/>
    <x v="1"/>
  </r>
  <r>
    <s v="B08VRMK55F"/>
    <x v="493"/>
    <x v="1"/>
    <n v="399"/>
    <n v="699"/>
    <n v="43"/>
    <n v="3.4"/>
    <n v="3454"/>
    <x v="0"/>
  </r>
  <r>
    <s v="B08CHZ3ZQ7"/>
    <x v="494"/>
    <x v="0"/>
    <n v="599"/>
    <n v="799"/>
    <n v="25"/>
    <n v="4.3"/>
    <n v="15790"/>
    <x v="0"/>
  </r>
  <r>
    <s v="B08SCCG9D4"/>
    <x v="495"/>
    <x v="0"/>
    <n v="949"/>
    <n v="2000"/>
    <n v="53"/>
    <n v="3.9"/>
    <n v="14969"/>
    <x v="1"/>
  </r>
  <r>
    <s v="B0972BQ2RS"/>
    <x v="496"/>
    <x v="1"/>
    <n v="2499"/>
    <n v="9999"/>
    <n v="75"/>
    <n v="4.0999999999999996"/>
    <n v="42139"/>
    <x v="1"/>
  </r>
  <r>
    <s v="B00ZRBWPA0"/>
    <x v="497"/>
    <x v="1"/>
    <n v="159"/>
    <n v="180"/>
    <n v="12"/>
    <n v="4.3"/>
    <n v="989"/>
    <x v="2"/>
  </r>
  <r>
    <s v="B0B2DD66GS"/>
    <x v="498"/>
    <x v="1"/>
    <n v="1329"/>
    <n v="2900"/>
    <n v="54"/>
    <n v="4.5"/>
    <n v="19624"/>
    <x v="1"/>
  </r>
  <r>
    <s v="B09M869Z5V"/>
    <x v="499"/>
    <x v="0"/>
    <n v="570"/>
    <n v="999"/>
    <n v="43"/>
    <n v="4.2"/>
    <n v="3201"/>
    <x v="0"/>
  </r>
  <r>
    <s v="B07W6VWZ8C"/>
    <x v="500"/>
    <x v="1"/>
    <n v="899"/>
    <n v="1999"/>
    <n v="55"/>
    <n v="4.0999999999999996"/>
    <n v="30469"/>
    <x v="0"/>
  </r>
  <r>
    <s v="B07Z1X6VFC"/>
    <x v="501"/>
    <x v="0"/>
    <n v="449"/>
    <n v="999"/>
    <n v="55"/>
    <n v="4.4000000000000004"/>
    <n v="9940"/>
    <x v="0"/>
  </r>
  <r>
    <s v="B07YL54NVJ"/>
    <x v="502"/>
    <x v="0"/>
    <n v="549"/>
    <n v="999"/>
    <n v="45"/>
    <n v="4.3"/>
    <n v="7758"/>
    <x v="0"/>
  </r>
  <r>
    <s v="B0759QMF85"/>
    <x v="503"/>
    <x v="0"/>
    <n v="1529"/>
    <n v="2399"/>
    <n v="36"/>
    <n v="4.3"/>
    <n v="68409"/>
    <x v="1"/>
  </r>
  <r>
    <s v="B00LM4X0KU"/>
    <x v="504"/>
    <x v="3"/>
    <n v="100"/>
    <n v="100"/>
    <n v="0"/>
    <n v="4.3"/>
    <n v="3095"/>
    <x v="2"/>
  </r>
  <r>
    <s v="B08PFSZ7FH"/>
    <x v="505"/>
    <x v="0"/>
    <n v="299"/>
    <n v="1499"/>
    <n v="80"/>
    <n v="4.2"/>
    <n v="903"/>
    <x v="0"/>
  </r>
  <r>
    <s v="B012MQS060"/>
    <x v="506"/>
    <x v="0"/>
    <n v="1295"/>
    <n v="1795"/>
    <n v="28"/>
    <n v="4.0999999999999996"/>
    <n v="25771"/>
    <x v="0"/>
  </r>
  <r>
    <s v="B01MF8MB65"/>
    <x v="507"/>
    <x v="1"/>
    <n v="699"/>
    <n v="999"/>
    <n v="30"/>
    <n v="4.0999999999999996"/>
    <n v="273189"/>
    <x v="0"/>
  </r>
  <r>
    <s v="B08QDPB1SL"/>
    <x v="508"/>
    <x v="1"/>
    <n v="190"/>
    <n v="220"/>
    <n v="14"/>
    <n v="4.4000000000000004"/>
    <n v="2866"/>
    <x v="2"/>
  </r>
  <r>
    <s v="B07BRKK9JQ"/>
    <x v="509"/>
    <x v="0"/>
    <n v="1299"/>
    <n v="1599"/>
    <n v="19"/>
    <n v="4.3"/>
    <n v="27223"/>
    <x v="0"/>
  </r>
  <r>
    <s v="B01EZ0X3L8"/>
    <x v="510"/>
    <x v="0"/>
    <n v="729"/>
    <n v="1650"/>
    <n v="56"/>
    <n v="4.3"/>
    <n v="82356"/>
    <x v="0"/>
  </r>
  <r>
    <s v="B00LM4W1N2"/>
    <x v="511"/>
    <x v="3"/>
    <n v="480"/>
    <n v="600"/>
    <n v="20"/>
    <n v="4.3"/>
    <n v="5719"/>
    <x v="0"/>
  </r>
  <r>
    <s v="B08YD264ZS"/>
    <x v="512"/>
    <x v="0"/>
    <n v="999"/>
    <n v="2499"/>
    <n v="60"/>
    <n v="4.3"/>
    <n v="1690"/>
    <x v="1"/>
  </r>
  <r>
    <s v="B00GZLB57U"/>
    <x v="513"/>
    <x v="0"/>
    <n v="238"/>
    <n v="699"/>
    <n v="66"/>
    <n v="4.4000000000000004"/>
    <n v="8372"/>
    <x v="0"/>
  </r>
  <r>
    <s v="B07V82W5CN"/>
    <x v="514"/>
    <x v="0"/>
    <n v="1349"/>
    <n v="2198"/>
    <n v="39"/>
    <n v="4"/>
    <n v="7113"/>
    <x v="1"/>
  </r>
  <r>
    <s v="B08HD7JQHX"/>
    <x v="515"/>
    <x v="0"/>
    <n v="199"/>
    <n v="499"/>
    <n v="60"/>
    <n v="3.3"/>
    <n v="2804"/>
    <x v="2"/>
  </r>
  <r>
    <s v="B0B31FR4Y2"/>
    <x v="516"/>
    <x v="1"/>
    <n v="1999"/>
    <n v="9999"/>
    <n v="80"/>
    <n v="3.7"/>
    <n v="1986"/>
    <x v="1"/>
  </r>
  <r>
    <s v="B09Y14JLP3"/>
    <x v="517"/>
    <x v="1"/>
    <n v="99"/>
    <n v="499"/>
    <n v="80"/>
    <n v="4.0999999999999996"/>
    <n v="2451"/>
    <x v="2"/>
  </r>
  <r>
    <s v="B09ZHCJDP1"/>
    <x v="518"/>
    <x v="0"/>
    <n v="499"/>
    <n v="1000"/>
    <n v="50"/>
    <n v="5"/>
    <n v="23"/>
    <x v="0"/>
  </r>
  <r>
    <s v="B08C4Z69LN"/>
    <x v="519"/>
    <x v="0"/>
    <n v="1792"/>
    <n v="3500"/>
    <n v="49"/>
    <n v="4.5"/>
    <n v="26194"/>
    <x v="1"/>
  </r>
  <r>
    <s v="B016XVRKZM"/>
    <x v="520"/>
    <x v="0"/>
    <n v="3299"/>
    <n v="4100"/>
    <n v="20"/>
    <n v="3.9"/>
    <n v="15783"/>
    <x v="1"/>
  </r>
  <r>
    <s v="B00LHZW3XY"/>
    <x v="521"/>
    <x v="3"/>
    <n v="125"/>
    <n v="180"/>
    <n v="31"/>
    <n v="4.4000000000000004"/>
    <n v="8053"/>
    <x v="2"/>
  </r>
  <r>
    <s v="B098JYT4SY"/>
    <x v="522"/>
    <x v="0"/>
    <n v="399"/>
    <n v="1190"/>
    <n v="66"/>
    <n v="4.0999999999999996"/>
    <n v="2809"/>
    <x v="0"/>
  </r>
  <r>
    <s v="B08CFCK6CW"/>
    <x v="523"/>
    <x v="1"/>
    <n v="1199"/>
    <n v="7999"/>
    <n v="85"/>
    <n v="3.6"/>
    <n v="25910"/>
    <x v="1"/>
  </r>
  <r>
    <s v="B09P564ZTJ"/>
    <x v="524"/>
    <x v="0"/>
    <n v="235"/>
    <n v="1599"/>
    <n v="85"/>
    <n v="3.8"/>
    <n v="1173"/>
    <x v="0"/>
  </r>
  <r>
    <s v="B07MSLTW8Z"/>
    <x v="525"/>
    <x v="0"/>
    <n v="549"/>
    <n v="1999"/>
    <n v="73"/>
    <n v="3.6"/>
    <n v="6422"/>
    <x v="0"/>
  </r>
  <r>
    <s v="B09N6TTHT6"/>
    <x v="526"/>
    <x v="0"/>
    <n v="89"/>
    <n v="99"/>
    <n v="10"/>
    <n v="4.2"/>
    <n v="241"/>
    <x v="2"/>
  </r>
  <r>
    <s v="B098R25TGC"/>
    <x v="527"/>
    <x v="1"/>
    <n v="1299"/>
    <n v="2999"/>
    <n v="57"/>
    <n v="3.8"/>
    <n v="14629"/>
    <x v="1"/>
  </r>
  <r>
    <s v="B0B2PQL5N3"/>
    <x v="528"/>
    <x v="0"/>
    <n v="230"/>
    <n v="999"/>
    <n v="77"/>
    <n v="4.2"/>
    <n v="1528"/>
    <x v="0"/>
  </r>
  <r>
    <s v="B07DKZCZ89"/>
    <x v="529"/>
    <x v="1"/>
    <n v="119"/>
    <n v="499"/>
    <n v="76"/>
    <n v="4.3"/>
    <n v="15032"/>
    <x v="2"/>
  </r>
  <r>
    <s v="B08GYG6T12"/>
    <x v="530"/>
    <x v="1"/>
    <n v="449"/>
    <n v="800"/>
    <n v="44"/>
    <n v="4.4000000000000004"/>
    <n v="69585"/>
    <x v="0"/>
  </r>
  <r>
    <s v="B09BN2NPBD"/>
    <x v="531"/>
    <x v="1"/>
    <n v="1699"/>
    <n v="3495"/>
    <n v="51"/>
    <n v="4.0999999999999996"/>
    <n v="14371"/>
    <x v="1"/>
  </r>
  <r>
    <s v="B00J4YG0PC"/>
    <x v="532"/>
    <x v="3"/>
    <n v="561"/>
    <n v="720"/>
    <n v="22"/>
    <n v="4.4000000000000004"/>
    <n v="3182"/>
    <x v="0"/>
  </r>
  <r>
    <s v="B073BRXPZX"/>
    <x v="533"/>
    <x v="0"/>
    <n v="289"/>
    <n v="590"/>
    <n v="51"/>
    <n v="4.4000000000000004"/>
    <n v="25886"/>
    <x v="0"/>
  </r>
  <r>
    <s v="B08LHTJTBB"/>
    <x v="534"/>
    <x v="0"/>
    <n v="599"/>
    <n v="1999"/>
    <n v="70"/>
    <n v="4.4000000000000004"/>
    <n v="4736"/>
    <x v="0"/>
  </r>
  <r>
    <s v="B07VTFN6HM"/>
    <x v="535"/>
    <x v="0"/>
    <n v="5599"/>
    <n v="7350"/>
    <n v="24"/>
    <n v="4.4000000000000004"/>
    <n v="73005"/>
    <x v="1"/>
  </r>
  <r>
    <s v="B008QS9J6Y"/>
    <x v="536"/>
    <x v="0"/>
    <n v="1990"/>
    <n v="2595"/>
    <n v="23"/>
    <n v="4.3"/>
    <n v="20398"/>
    <x v="1"/>
  </r>
  <r>
    <s v="B09M8888DM"/>
    <x v="537"/>
    <x v="0"/>
    <n v="499"/>
    <n v="799"/>
    <n v="38"/>
    <n v="4.3"/>
    <n v="2125"/>
    <x v="0"/>
  </r>
  <r>
    <s v="B082FTPRSK"/>
    <x v="538"/>
    <x v="0"/>
    <n v="999"/>
    <n v="1999"/>
    <n v="50"/>
    <n v="4.2"/>
    <n v="27441"/>
    <x v="0"/>
  </r>
  <r>
    <s v="B09RF2QXGX"/>
    <x v="539"/>
    <x v="0"/>
    <n v="69"/>
    <n v="299"/>
    <n v="77"/>
    <n v="4.3"/>
    <n v="255"/>
    <x v="2"/>
  </r>
  <r>
    <s v="B01KK0HU3Y"/>
    <x v="540"/>
    <x v="0"/>
    <n v="899"/>
    <n v="1499"/>
    <n v="40"/>
    <n v="4.2"/>
    <n v="23174"/>
    <x v="0"/>
  </r>
  <r>
    <s v="B07JF9B592"/>
    <x v="541"/>
    <x v="2"/>
    <n v="478"/>
    <n v="699"/>
    <n v="32"/>
    <n v="3.8"/>
    <n v="20218"/>
    <x v="0"/>
  </r>
  <r>
    <s v="B086394NY5"/>
    <x v="542"/>
    <x v="0"/>
    <n v="1399"/>
    <n v="2490"/>
    <n v="44"/>
    <n v="4.3"/>
    <n v="11074"/>
    <x v="1"/>
  </r>
  <r>
    <s v="B017PDR9N0"/>
    <x v="543"/>
    <x v="0"/>
    <n v="149"/>
    <n v="499"/>
    <n v="70"/>
    <n v="4.0999999999999996"/>
    <n v="25607"/>
    <x v="2"/>
  </r>
  <r>
    <s v="B07NC12T2R"/>
    <x v="544"/>
    <x v="1"/>
    <n v="1799"/>
    <n v="4990"/>
    <n v="64"/>
    <n v="4.2"/>
    <n v="41226"/>
    <x v="1"/>
  </r>
  <r>
    <s v="B07WKBD37W"/>
    <x v="545"/>
    <x v="5"/>
    <n v="425"/>
    <n v="999"/>
    <n v="57"/>
    <n v="4"/>
    <n v="2581"/>
    <x v="0"/>
  </r>
  <r>
    <s v="B08JMC1988"/>
    <x v="546"/>
    <x v="1"/>
    <n v="999"/>
    <n v="2490"/>
    <n v="60"/>
    <n v="4.0999999999999996"/>
    <n v="18331"/>
    <x v="1"/>
  </r>
  <r>
    <s v="B09GFN8WZL"/>
    <x v="547"/>
    <x v="0"/>
    <n v="378"/>
    <n v="999"/>
    <n v="62"/>
    <n v="4.0999999999999996"/>
    <n v="1779"/>
    <x v="0"/>
  </r>
  <r>
    <s v="B095X38CJS"/>
    <x v="548"/>
    <x v="3"/>
    <n v="99"/>
    <n v="99"/>
    <n v="0"/>
    <n v="4.3"/>
    <n v="388"/>
    <x v="2"/>
  </r>
  <r>
    <s v="B07ZKD8T1Q"/>
    <x v="549"/>
    <x v="0"/>
    <n v="1499"/>
    <n v="2999"/>
    <n v="50"/>
    <n v="4.5"/>
    <n v="8656"/>
    <x v="1"/>
  </r>
  <r>
    <s v="B07G3YNLJB"/>
    <x v="550"/>
    <x v="0"/>
    <n v="1815"/>
    <n v="3100"/>
    <n v="41"/>
    <n v="4.5"/>
    <n v="92925"/>
    <x v="1"/>
  </r>
  <r>
    <s v="B00P93X2H6"/>
    <x v="551"/>
    <x v="3"/>
    <n v="67"/>
    <n v="75"/>
    <n v="11"/>
    <n v="4.0999999999999996"/>
    <n v="1269"/>
    <x v="2"/>
  </r>
  <r>
    <s v="B0798PJPCL"/>
    <x v="552"/>
    <x v="0"/>
    <n v="1889"/>
    <n v="2699"/>
    <n v="30"/>
    <n v="4.3"/>
    <n v="17394"/>
    <x v="1"/>
  </r>
  <r>
    <s v="B09GFWJDY1"/>
    <x v="553"/>
    <x v="1"/>
    <n v="499"/>
    <n v="1499"/>
    <n v="67"/>
    <n v="3.6"/>
    <n v="9169"/>
    <x v="0"/>
  </r>
  <r>
    <s v="B09MZ6WZ6V"/>
    <x v="554"/>
    <x v="0"/>
    <n v="499"/>
    <n v="999"/>
    <n v="50"/>
    <n v="4.4000000000000004"/>
    <n v="1030"/>
    <x v="0"/>
  </r>
  <r>
    <s v="B094QZLJQ6"/>
    <x v="555"/>
    <x v="0"/>
    <n v="5799"/>
    <n v="7999"/>
    <n v="28"/>
    <n v="4.5"/>
    <n v="50273"/>
    <x v="1"/>
  </r>
  <r>
    <s v="B07L3NDN24"/>
    <x v="556"/>
    <x v="1"/>
    <n v="499"/>
    <n v="799"/>
    <n v="38"/>
    <n v="3.9"/>
    <n v="6742"/>
    <x v="0"/>
  </r>
  <r>
    <s v="B08WD18LJZ"/>
    <x v="557"/>
    <x v="0"/>
    <n v="249"/>
    <n v="600"/>
    <n v="59"/>
    <n v="4"/>
    <n v="1208"/>
    <x v="0"/>
  </r>
  <r>
    <s v="B06XDKWLJH"/>
    <x v="558"/>
    <x v="0"/>
    <n v="4449"/>
    <n v="5734"/>
    <n v="22"/>
    <n v="4.4000000000000004"/>
    <n v="25006"/>
    <x v="1"/>
  </r>
  <r>
    <s v="B01J1CFO5I"/>
    <x v="559"/>
    <x v="0"/>
    <n v="299"/>
    <n v="550"/>
    <n v="46"/>
    <n v="4.5999999999999996"/>
    <n v="33434"/>
    <x v="0"/>
  </r>
  <r>
    <s v="B07J2NGB69"/>
    <x v="560"/>
    <x v="0"/>
    <n v="629"/>
    <n v="1390"/>
    <n v="55"/>
    <n v="4.4000000000000004"/>
    <n v="6301"/>
    <x v="0"/>
  </r>
  <r>
    <s v="B00MUTWLW4"/>
    <x v="561"/>
    <x v="0"/>
    <n v="2595"/>
    <n v="3295"/>
    <n v="21"/>
    <n v="4.4000000000000004"/>
    <n v="22618"/>
    <x v="1"/>
  </r>
  <r>
    <s v="B017NC2IPM"/>
    <x v="562"/>
    <x v="0"/>
    <n v="1799"/>
    <n v="2911"/>
    <n v="38"/>
    <n v="4.3"/>
    <n v="20342"/>
    <x v="1"/>
  </r>
  <r>
    <s v="B00N1U7JXM"/>
    <x v="563"/>
    <x v="3"/>
    <n v="90"/>
    <n v="175"/>
    <n v="49"/>
    <n v="4.4000000000000004"/>
    <n v="7429"/>
    <x v="2"/>
  </r>
  <r>
    <s v="B08HQL67D6"/>
    <x v="564"/>
    <x v="0"/>
    <n v="599"/>
    <n v="599"/>
    <n v="0"/>
    <n v="4"/>
    <n v="26423"/>
    <x v="0"/>
  </r>
  <r>
    <s v="B09RKFBCV7"/>
    <x v="565"/>
    <x v="1"/>
    <n v="1999"/>
    <n v="7999"/>
    <n v="75"/>
    <n v="4.2"/>
    <n v="31305"/>
    <x v="1"/>
  </r>
  <r>
    <s v="B08KHM9VBJ"/>
    <x v="566"/>
    <x v="0"/>
    <n v="2099"/>
    <n v="3250"/>
    <n v="35"/>
    <n v="3.8"/>
    <n v="11213"/>
    <x v="1"/>
  </r>
  <r>
    <s v="B01IOZUHRS"/>
    <x v="567"/>
    <x v="0"/>
    <n v="179"/>
    <n v="499"/>
    <n v="64"/>
    <n v="4.0999999999999996"/>
    <n v="10174"/>
    <x v="2"/>
  </r>
  <r>
    <s v="B00CEQEGPI"/>
    <x v="568"/>
    <x v="0"/>
    <n v="1345"/>
    <n v="2295"/>
    <n v="41"/>
    <n v="4.2"/>
    <n v="17413"/>
    <x v="1"/>
  </r>
  <r>
    <s v="B08B6XWQ1C"/>
    <x v="569"/>
    <x v="1"/>
    <n v="349"/>
    <n v="995"/>
    <n v="65"/>
    <n v="4.2"/>
    <n v="6676"/>
    <x v="0"/>
  </r>
  <r>
    <s v="B01DGVKBC6"/>
    <x v="570"/>
    <x v="0"/>
    <n v="287"/>
    <n v="499"/>
    <n v="42"/>
    <n v="4.4000000000000004"/>
    <n v="8076"/>
    <x v="2"/>
  </r>
  <r>
    <s v="B08JD36C6H"/>
    <x v="571"/>
    <x v="0"/>
    <n v="349"/>
    <n v="450"/>
    <n v="22"/>
    <n v="4.0999999999999996"/>
    <n v="18656"/>
    <x v="2"/>
  </r>
  <r>
    <s v="B00E3DVQFS"/>
    <x v="572"/>
    <x v="1"/>
    <n v="879"/>
    <n v="1109"/>
    <n v="21"/>
    <n v="4.4000000000000004"/>
    <n v="31599"/>
    <x v="0"/>
  </r>
  <r>
    <s v="B00BN5SNF0"/>
    <x v="573"/>
    <x v="1"/>
    <n v="250"/>
    <n v="250"/>
    <n v="0"/>
    <n v="3.9"/>
    <n v="13971"/>
    <x v="2"/>
  </r>
  <r>
    <s v="B09SGGRKV8"/>
    <x v="574"/>
    <x v="1"/>
    <n v="199"/>
    <n v="499"/>
    <n v="60"/>
    <n v="3.6"/>
    <n v="2492"/>
    <x v="2"/>
  </r>
  <r>
    <s v="B084BR3QX8"/>
    <x v="575"/>
    <x v="0"/>
    <n v="149"/>
    <n v="999"/>
    <n v="85"/>
    <n v="3.5"/>
    <n v="2523"/>
    <x v="0"/>
  </r>
  <r>
    <s v="B09VC2D2WG"/>
    <x v="576"/>
    <x v="0"/>
    <n v="469"/>
    <n v="1499"/>
    <n v="69"/>
    <n v="4.0999999999999996"/>
    <n v="352"/>
    <x v="0"/>
  </r>
  <r>
    <s v="B09163Q5CD"/>
    <x v="577"/>
    <x v="0"/>
    <n v="1187"/>
    <n v="1929"/>
    <n v="38"/>
    <n v="4.0999999999999996"/>
    <n v="1662"/>
    <x v="0"/>
  </r>
  <r>
    <s v="B08K9PX15C"/>
    <x v="578"/>
    <x v="0"/>
    <n v="849"/>
    <n v="1499"/>
    <n v="43"/>
    <n v="4"/>
    <n v="7352"/>
    <x v="0"/>
  </r>
  <r>
    <s v="B083RD1J99"/>
    <x v="579"/>
    <x v="0"/>
    <n v="328"/>
    <n v="399"/>
    <n v="18"/>
    <n v="4.0999999999999996"/>
    <n v="3441"/>
    <x v="2"/>
  </r>
  <r>
    <s v="B09Z7YGV3R"/>
    <x v="580"/>
    <x v="0"/>
    <n v="269"/>
    <n v="699"/>
    <n v="62"/>
    <n v="4"/>
    <n v="93"/>
    <x v="0"/>
  </r>
  <r>
    <s v="B00N3XLDW0"/>
    <x v="581"/>
    <x v="1"/>
    <n v="299"/>
    <n v="400"/>
    <n v="25"/>
    <n v="3.8"/>
    <n v="40895"/>
    <x v="2"/>
  </r>
  <r>
    <s v="B07Z53L5QL"/>
    <x v="582"/>
    <x v="0"/>
    <n v="549"/>
    <n v="1499"/>
    <n v="63"/>
    <n v="4.3"/>
    <n v="11006"/>
    <x v="0"/>
  </r>
  <r>
    <s v="B00P93X0VO"/>
    <x v="583"/>
    <x v="3"/>
    <n v="114"/>
    <n v="120"/>
    <n v="5"/>
    <n v="4.2"/>
    <n v="8938"/>
    <x v="2"/>
  </r>
  <r>
    <s v="B07SBGFDX9"/>
    <x v="584"/>
    <x v="3"/>
    <n v="120"/>
    <n v="120"/>
    <n v="0"/>
    <n v="4.0999999999999996"/>
    <n v="4308"/>
    <x v="2"/>
  </r>
  <r>
    <s v="B07X2L5Z8C"/>
    <x v="585"/>
    <x v="0"/>
    <n v="1490"/>
    <n v="2295"/>
    <n v="35"/>
    <n v="4.5999999999999996"/>
    <n v="10652"/>
    <x v="1"/>
  </r>
  <r>
    <s v="B00VA7YYUO"/>
    <x v="586"/>
    <x v="4"/>
    <n v="99"/>
    <n v="99"/>
    <n v="0"/>
    <n v="4.3"/>
    <n v="5036"/>
    <x v="2"/>
  </r>
  <r>
    <s v="B07L9FW9GF"/>
    <x v="587"/>
    <x v="0"/>
    <n v="149"/>
    <n v="249"/>
    <n v="40"/>
    <n v="4"/>
    <n v="5057"/>
    <x v="2"/>
  </r>
  <r>
    <s v="B08D64C9FN"/>
    <x v="588"/>
    <x v="0"/>
    <n v="575"/>
    <n v="2799"/>
    <n v="79"/>
    <n v="4.2"/>
    <n v="8537"/>
    <x v="1"/>
  </r>
  <r>
    <s v="B00LOD70SC"/>
    <x v="589"/>
    <x v="3"/>
    <n v="178"/>
    <n v="210"/>
    <n v="15"/>
    <n v="4.3"/>
    <n v="2450"/>
    <x v="2"/>
  </r>
  <r>
    <s v="B09X76VL5L"/>
    <x v="590"/>
    <x v="1"/>
    <n v="1599"/>
    <n v="3490"/>
    <n v="54"/>
    <n v="3.7"/>
    <n v="676"/>
    <x v="1"/>
  </r>
  <r>
    <s v="B091JF2TFD"/>
    <x v="591"/>
    <x v="1"/>
    <n v="499"/>
    <n v="1299"/>
    <n v="62"/>
    <n v="3.9"/>
    <n v="1173"/>
    <x v="0"/>
  </r>
  <r>
    <s v="B07S7DCJKS"/>
    <x v="592"/>
    <x v="0"/>
    <n v="199"/>
    <n v="499"/>
    <n v="60"/>
    <n v="4.3"/>
    <n v="9998"/>
    <x v="2"/>
  </r>
  <r>
    <s v="B09NC2TY11"/>
    <x v="593"/>
    <x v="1"/>
    <n v="2499"/>
    <n v="5999"/>
    <n v="58"/>
    <n v="4.0999999999999996"/>
    <n v="5852"/>
    <x v="1"/>
  </r>
  <r>
    <s v="B0BDS8MY8J"/>
    <x v="594"/>
    <x v="0"/>
    <n v="199"/>
    <n v="999"/>
    <n v="80"/>
    <n v="4.2"/>
    <n v="362"/>
    <x v="0"/>
  </r>
  <r>
    <s v="B09X7DY7Q4"/>
    <x v="595"/>
    <x v="1"/>
    <n v="939"/>
    <n v="1800"/>
    <n v="48"/>
    <n v="4.5"/>
    <n v="205052"/>
    <x v="0"/>
  </r>
  <r>
    <s v="B09YV575RK"/>
    <x v="596"/>
    <x v="1"/>
    <n v="2499"/>
    <n v="9999"/>
    <n v="75"/>
    <n v="4"/>
    <n v="9090"/>
    <x v="1"/>
  </r>
  <r>
    <s v="B08LW31NQ6"/>
    <x v="597"/>
    <x v="0"/>
    <n v="1439"/>
    <n v="2890"/>
    <n v="50"/>
    <n v="4.5"/>
    <n v="4099"/>
    <x v="1"/>
  </r>
  <r>
    <s v="B09ND94ZRG"/>
    <x v="598"/>
    <x v="1"/>
    <n v="1099"/>
    <n v="5999"/>
    <n v="82"/>
    <n v="3.5"/>
    <n v="12966"/>
    <x v="1"/>
  </r>
  <r>
    <s v="B0994GP1CX"/>
    <x v="599"/>
    <x v="0"/>
    <n v="115"/>
    <n v="999"/>
    <n v="88"/>
    <n v="3.3"/>
    <n v="5692"/>
    <x v="0"/>
  </r>
  <r>
    <s v="B07H8W9PB6"/>
    <x v="600"/>
    <x v="0"/>
    <n v="175"/>
    <n v="499"/>
    <n v="65"/>
    <n v="4.0999999999999996"/>
    <n v="21"/>
    <x v="2"/>
  </r>
  <r>
    <s v="B09NNHFSSF"/>
    <x v="601"/>
    <x v="1"/>
    <n v="1999"/>
    <n v="4700"/>
    <n v="57"/>
    <n v="3.8"/>
    <n v="1880"/>
    <x v="1"/>
  </r>
  <r>
    <s v="B08D9NDZ1Y"/>
    <x v="602"/>
    <x v="0"/>
    <n v="3999"/>
    <n v="433296"/>
    <n v="8"/>
    <n v="3.5"/>
    <n v="21762"/>
    <x v="1"/>
  </r>
  <r>
    <s v="B0085IATT6"/>
    <x v="603"/>
    <x v="0"/>
    <n v="899"/>
    <n v="1800"/>
    <n v="50"/>
    <n v="4.0999999999999996"/>
    <n v="22375"/>
    <x v="0"/>
  </r>
  <r>
    <s v="B08WJ86PV2"/>
    <x v="604"/>
    <x v="0"/>
    <n v="299"/>
    <n v="990"/>
    <n v="70"/>
    <n v="4.5"/>
    <n v="2453"/>
    <x v="0"/>
  </r>
  <r>
    <s v="B078HRR1XV"/>
    <x v="605"/>
    <x v="0"/>
    <n v="3303"/>
    <n v="4699"/>
    <n v="30"/>
    <n v="4.4000000000000004"/>
    <n v="13544"/>
    <x v="1"/>
  </r>
  <r>
    <s v="B09P22HXH6"/>
    <x v="606"/>
    <x v="0"/>
    <n v="1890"/>
    <n v="5490"/>
    <n v="66"/>
    <n v="4.0999999999999996"/>
    <n v="10976"/>
    <x v="1"/>
  </r>
  <r>
    <s v="B00LM4X3XE"/>
    <x v="607"/>
    <x v="3"/>
    <n v="90"/>
    <n v="100"/>
    <n v="10"/>
    <n v="4.3"/>
    <n v="3061"/>
    <x v="2"/>
  </r>
  <r>
    <s v="B09YLFHFDW"/>
    <x v="608"/>
    <x v="1"/>
    <n v="1599"/>
    <n v="2790"/>
    <n v="43"/>
    <n v="3.6"/>
    <n v="2272"/>
    <x v="1"/>
  </r>
  <r>
    <s v="B07YWS9SP9"/>
    <x v="609"/>
    <x v="0"/>
    <n v="599"/>
    <n v="999"/>
    <n v="40"/>
    <n v="4"/>
    <n v="7601"/>
    <x v="0"/>
  </r>
  <r>
    <s v="B08WLY8V9S"/>
    <x v="610"/>
    <x v="0"/>
    <n v="425"/>
    <n v="899"/>
    <n v="53"/>
    <n v="4.5"/>
    <n v="4219"/>
    <x v="0"/>
  </r>
  <r>
    <s v="B0873L7J6X"/>
    <x v="611"/>
    <x v="1"/>
    <n v="1499"/>
    <n v="3999"/>
    <n v="63"/>
    <n v="4.2"/>
    <n v="42775"/>
    <x v="1"/>
  </r>
  <r>
    <s v="B07YNHCW6N"/>
    <x v="612"/>
    <x v="0"/>
    <n v="549"/>
    <n v="2499"/>
    <n v="78"/>
    <n v="4.3"/>
    <n v="5556"/>
    <x v="1"/>
  </r>
  <r>
    <s v="B01MQ2A86A"/>
    <x v="613"/>
    <x v="0"/>
    <n v="1295"/>
    <n v="1645"/>
    <n v="21"/>
    <n v="4.5999999999999996"/>
    <n v="12375"/>
    <x v="0"/>
  </r>
  <r>
    <s v="B00KIE28X0"/>
    <x v="614"/>
    <x v="4"/>
    <n v="310"/>
    <n v="310"/>
    <n v="0"/>
    <n v="4.5"/>
    <n v="5882"/>
    <x v="2"/>
  </r>
  <r>
    <s v="B0BHYJ8CVF"/>
    <x v="615"/>
    <x v="0"/>
    <n v="1149"/>
    <n v="1499"/>
    <n v="23"/>
    <n v="4.0999999999999996"/>
    <n v="10443"/>
    <x v="0"/>
  </r>
  <r>
    <s v="B0BCVJ3PVP"/>
    <x v="616"/>
    <x v="0"/>
    <n v="499"/>
    <n v="1299"/>
    <n v="62"/>
    <n v="4.5"/>
    <n v="434"/>
    <x v="0"/>
  </r>
  <r>
    <s v="B0B2931FCV"/>
    <x v="617"/>
    <x v="1"/>
    <n v="999"/>
    <n v="4199"/>
    <n v="76"/>
    <n v="3.5"/>
    <n v="1913"/>
    <x v="1"/>
  </r>
  <r>
    <s v="B09TMZ1MF8"/>
    <x v="618"/>
    <x v="0"/>
    <n v="1709"/>
    <n v="4000"/>
    <n v="57"/>
    <n v="4.4000000000000004"/>
    <n v="3029"/>
    <x v="1"/>
  </r>
  <r>
    <s v="B07VV37FT4"/>
    <x v="619"/>
    <x v="3"/>
    <n v="250"/>
    <n v="250"/>
    <n v="0"/>
    <n v="4.2"/>
    <n v="2628"/>
    <x v="2"/>
  </r>
  <r>
    <s v="B07JB2Y4SR"/>
    <x v="620"/>
    <x v="4"/>
    <n v="90"/>
    <n v="100"/>
    <n v="10"/>
    <n v="4.4000000000000004"/>
    <n v="10718"/>
    <x v="2"/>
  </r>
  <r>
    <s v="B08KRMK9LZ"/>
    <x v="621"/>
    <x v="1"/>
    <n v="2025"/>
    <n v="5999"/>
    <n v="66"/>
    <n v="4.2"/>
    <n v="6233"/>
    <x v="1"/>
  </r>
  <r>
    <s v="B08LT9BMPP"/>
    <x v="622"/>
    <x v="0"/>
    <n v="1495"/>
    <n v="1995"/>
    <n v="25"/>
    <n v="4.5"/>
    <n v="10541"/>
    <x v="0"/>
  </r>
  <r>
    <s v="B0814ZY6FP"/>
    <x v="623"/>
    <x v="1"/>
    <n v="899"/>
    <n v="1199"/>
    <n v="25"/>
    <n v="3.8"/>
    <n v="10751"/>
    <x v="0"/>
  </r>
  <r>
    <s v="B09F3PDDRF"/>
    <x v="624"/>
    <x v="0"/>
    <n v="349"/>
    <n v="999"/>
    <n v="65"/>
    <n v="3.9"/>
    <n v="817"/>
    <x v="0"/>
  </r>
  <r>
    <s v="B07X963JNS"/>
    <x v="625"/>
    <x v="1"/>
    <n v="900"/>
    <n v="2499"/>
    <n v="64"/>
    <n v="4"/>
    <n v="36384"/>
    <x v="1"/>
  </r>
  <r>
    <s v="B09LD3116F"/>
    <x v="626"/>
    <x v="1"/>
    <n v="2490"/>
    <n v="3990"/>
    <n v="38"/>
    <n v="4.0999999999999996"/>
    <n v="3606"/>
    <x v="1"/>
  </r>
  <r>
    <s v="B08Y5QJTVK"/>
    <x v="627"/>
    <x v="1"/>
    <n v="116"/>
    <n v="200"/>
    <n v="42"/>
    <n v="4.4000000000000004"/>
    <n v="357"/>
    <x v="2"/>
  </r>
  <r>
    <s v="B00LY1FN1K"/>
    <x v="628"/>
    <x v="4"/>
    <n v="200"/>
    <n v="230"/>
    <n v="13"/>
    <n v="4.4000000000000004"/>
    <n v="10170"/>
    <x v="2"/>
  </r>
  <r>
    <s v="B07DJ5KYDZ"/>
    <x v="629"/>
    <x v="0"/>
    <n v="1249"/>
    <n v="2796"/>
    <n v="55"/>
    <n v="4.4000000000000004"/>
    <n v="4598"/>
    <x v="1"/>
  </r>
  <r>
    <s v="B009LJ2BXA"/>
    <x v="630"/>
    <x v="0"/>
    <n v="649"/>
    <n v="999"/>
    <n v="35"/>
    <n v="3.5"/>
    <n v="7222"/>
    <x v="0"/>
  </r>
  <r>
    <s v="B09BVCVTBC"/>
    <x v="631"/>
    <x v="0"/>
    <n v="2649"/>
    <n v="3499"/>
    <n v="24"/>
    <n v="4.5"/>
    <n v="1271"/>
    <x v="1"/>
  </r>
  <r>
    <s v="B07SY4C3TD"/>
    <x v="632"/>
    <x v="0"/>
    <n v="596"/>
    <n v="723"/>
    <n v="18"/>
    <n v="4.4000000000000004"/>
    <n v="3219"/>
    <x v="0"/>
  </r>
  <r>
    <s v="B094JB13XL"/>
    <x v="633"/>
    <x v="1"/>
    <n v="2499"/>
    <n v="5999"/>
    <n v="58"/>
    <n v="4.0999999999999996"/>
    <n v="38879"/>
    <x v="1"/>
  </r>
  <r>
    <s v="B08CRRQK6Z"/>
    <x v="634"/>
    <x v="1"/>
    <n v="4999"/>
    <n v="12499"/>
    <n v="60"/>
    <n v="4.2"/>
    <n v="4541"/>
    <x v="1"/>
  </r>
  <r>
    <s v="B08MTLLSL8"/>
    <x v="635"/>
    <x v="1"/>
    <n v="399"/>
    <n v="1290"/>
    <n v="69"/>
    <n v="4.2"/>
    <n v="76042"/>
    <x v="0"/>
  </r>
  <r>
    <s v="B08Y57TPDM"/>
    <x v="636"/>
    <x v="1"/>
    <n v="116"/>
    <n v="200"/>
    <n v="42"/>
    <n v="4.3"/>
    <n v="485"/>
    <x v="2"/>
  </r>
  <r>
    <s v="B09CYTJV3N"/>
    <x v="637"/>
    <x v="1"/>
    <n v="4499"/>
    <n v="5999"/>
    <n v="25"/>
    <n v="4.3"/>
    <n v="44696"/>
    <x v="1"/>
  </r>
  <r>
    <s v="B07GLNJC25"/>
    <x v="638"/>
    <x v="0"/>
    <n v="330"/>
    <n v="499"/>
    <n v="34"/>
    <n v="3.7"/>
    <n v="8566"/>
    <x v="2"/>
  </r>
  <r>
    <s v="B08FY4FG5X"/>
    <x v="639"/>
    <x v="1"/>
    <n v="649"/>
    <n v="2499"/>
    <n v="74"/>
    <n v="3.9"/>
    <n v="13049"/>
    <x v="1"/>
  </r>
  <r>
    <s v="B07TMCXRFV"/>
    <x v="640"/>
    <x v="0"/>
    <n v="1234"/>
    <n v="1599"/>
    <n v="23"/>
    <n v="4.5"/>
    <n v="16680"/>
    <x v="0"/>
  </r>
  <r>
    <s v="B00LZPQVMK"/>
    <x v="641"/>
    <x v="3"/>
    <n v="272"/>
    <n v="320"/>
    <n v="15"/>
    <n v="4"/>
    <n v="3686"/>
    <x v="2"/>
  </r>
  <r>
    <s v="B08X77LM8C"/>
    <x v="642"/>
    <x v="1"/>
    <n v="99"/>
    <n v="999"/>
    <n v="90"/>
    <n v="3.8"/>
    <n v="594"/>
    <x v="0"/>
  </r>
  <r>
    <s v="B01EJ5MM5M"/>
    <x v="643"/>
    <x v="0"/>
    <n v="3498"/>
    <n v="3875"/>
    <n v="10"/>
    <n v="3.4"/>
    <n v="12185"/>
    <x v="1"/>
  </r>
  <r>
    <s v="B08J82K4GX"/>
    <x v="644"/>
    <x v="0"/>
    <n v="10099"/>
    <n v="19110"/>
    <n v="47"/>
    <n v="4.3"/>
    <n v="2623"/>
    <x v="1"/>
  </r>
  <r>
    <s v="B00DJ5N9VK"/>
    <x v="645"/>
    <x v="6"/>
    <n v="150"/>
    <n v="150"/>
    <n v="0"/>
    <n v="4.3"/>
    <n v="15867"/>
    <x v="2"/>
  </r>
  <r>
    <s v="B08FGNPQ9X"/>
    <x v="646"/>
    <x v="0"/>
    <n v="1199"/>
    <n v="2999"/>
    <n v="60"/>
    <n v="4.0999999999999996"/>
    <n v="10725"/>
    <x v="1"/>
  </r>
  <r>
    <s v="B07NTKGW45"/>
    <x v="647"/>
    <x v="0"/>
    <n v="397"/>
    <n v="899"/>
    <n v="56"/>
    <n v="4"/>
    <n v="3025"/>
    <x v="0"/>
  </r>
  <r>
    <s v="B08J4PL1Z3"/>
    <x v="648"/>
    <x v="0"/>
    <n v="699"/>
    <n v="1490"/>
    <n v="53"/>
    <n v="4"/>
    <n v="5736"/>
    <x v="0"/>
  </r>
  <r>
    <s v="B07XJWTYM2"/>
    <x v="649"/>
    <x v="1"/>
    <n v="1679"/>
    <n v="1999"/>
    <n v="16"/>
    <n v="4.0999999999999996"/>
    <n v="72563"/>
    <x v="0"/>
  </r>
  <r>
    <s v="B09939XJX8"/>
    <x v="650"/>
    <x v="0"/>
    <n v="1199"/>
    <n v="5499"/>
    <n v="78"/>
    <n v="3.8"/>
    <n v="2043"/>
    <x v="1"/>
  </r>
  <r>
    <s v="B08CTQP51L"/>
    <x v="651"/>
    <x v="0"/>
    <n v="379"/>
    <n v="1499"/>
    <n v="75"/>
    <n v="4.2"/>
    <n v="4149"/>
    <x v="0"/>
  </r>
  <r>
    <s v="B0BG62HMDJ"/>
    <x v="652"/>
    <x v="0"/>
    <n v="499"/>
    <n v="775"/>
    <n v="36"/>
    <n v="4.3"/>
    <n v="74"/>
    <x v="0"/>
  </r>
  <r>
    <s v="B08GTYFC37"/>
    <x v="653"/>
    <x v="0"/>
    <n v="10389"/>
    <n v="32000"/>
    <n v="68"/>
    <n v="4.4000000000000004"/>
    <n v="41398"/>
    <x v="1"/>
  </r>
  <r>
    <s v="B08SBH499M"/>
    <x v="654"/>
    <x v="0"/>
    <n v="649"/>
    <n v="1300"/>
    <n v="50"/>
    <n v="4.0999999999999996"/>
    <n v="5195"/>
    <x v="0"/>
  </r>
  <r>
    <s v="B08FYB5HHK"/>
    <x v="655"/>
    <x v="0"/>
    <n v="1199"/>
    <n v="1999"/>
    <n v="40"/>
    <n v="4.5"/>
    <n v="22420"/>
    <x v="0"/>
  </r>
  <r>
    <s v="B0B5GJRTHB"/>
    <x v="656"/>
    <x v="1"/>
    <n v="889"/>
    <n v="1999"/>
    <n v="56"/>
    <n v="4.2"/>
    <n v="2284"/>
    <x v="0"/>
  </r>
  <r>
    <s v="B09GBBJV72"/>
    <x v="657"/>
    <x v="0"/>
    <n v="1409"/>
    <n v="2199"/>
    <n v="36"/>
    <n v="3.9"/>
    <n v="427"/>
    <x v="1"/>
  </r>
  <r>
    <s v="B07P434WJY"/>
    <x v="658"/>
    <x v="0"/>
    <n v="549"/>
    <n v="1999"/>
    <n v="73"/>
    <n v="4.3"/>
    <n v="1367"/>
    <x v="0"/>
  </r>
  <r>
    <s v="B07T9FV9YP"/>
    <x v="659"/>
    <x v="0"/>
    <n v="749"/>
    <n v="1799"/>
    <n v="58"/>
    <n v="4"/>
    <n v="13199"/>
    <x v="0"/>
  </r>
  <r>
    <s v="B08WKFSN84"/>
    <x v="660"/>
    <x v="0"/>
    <n v="379"/>
    <n v="1099"/>
    <n v="66"/>
    <n v="4.3"/>
    <n v="2806"/>
    <x v="0"/>
  </r>
  <r>
    <s v="B09TBCVJS3"/>
    <x v="661"/>
    <x v="1"/>
    <n v="5998"/>
    <n v="7999"/>
    <n v="25"/>
    <n v="4.2"/>
    <n v="30355"/>
    <x v="1"/>
  </r>
  <r>
    <s v="B08TR61BVK"/>
    <x v="662"/>
    <x v="0"/>
    <n v="299"/>
    <n v="1499"/>
    <n v="80"/>
    <n v="4.2"/>
    <n v="2868"/>
    <x v="0"/>
  </r>
  <r>
    <s v="B0B2CPVXHX"/>
    <x v="663"/>
    <x v="0"/>
    <n v="379"/>
    <n v="1499"/>
    <n v="75"/>
    <n v="4.0999999999999996"/>
    <n v="670"/>
    <x v="0"/>
  </r>
  <r>
    <s v="B08XNL93PL"/>
    <x v="664"/>
    <x v="3"/>
    <n v="1399"/>
    <n v="2999"/>
    <n v="53"/>
    <n v="4.3"/>
    <n v="3530"/>
    <x v="1"/>
  </r>
  <r>
    <s v="B088GXTJM3"/>
    <x v="665"/>
    <x v="1"/>
    <n v="699"/>
    <n v="1299"/>
    <n v="46"/>
    <n v="4.3"/>
    <n v="6183"/>
    <x v="0"/>
  </r>
  <r>
    <s v="B099S26HWG"/>
    <x v="666"/>
    <x v="3"/>
    <n v="300"/>
    <n v="300"/>
    <n v="0"/>
    <n v="4.2"/>
    <n v="419"/>
    <x v="2"/>
  </r>
  <r>
    <s v="B08461VC1Z"/>
    <x v="667"/>
    <x v="0"/>
    <n v="999"/>
    <n v="1995"/>
    <n v="50"/>
    <n v="4.5"/>
    <n v="7317"/>
    <x v="0"/>
  </r>
  <r>
    <s v="B00K32PEW4"/>
    <x v="668"/>
    <x v="3"/>
    <n v="535"/>
    <n v="535"/>
    <n v="0"/>
    <n v="4.4000000000000004"/>
    <n v="4426"/>
    <x v="0"/>
  </r>
  <r>
    <s v="B07LFWP97N"/>
    <x v="669"/>
    <x v="0"/>
    <n v="269"/>
    <n v="1099"/>
    <n v="76"/>
    <n v="4.0999999999999996"/>
    <n v="1092"/>
    <x v="0"/>
  </r>
  <r>
    <s v="B0746N6WML"/>
    <x v="670"/>
    <x v="3"/>
    <n v="341"/>
    <n v="450"/>
    <n v="24"/>
    <n v="4.3"/>
    <n v="2493"/>
    <x v="2"/>
  </r>
  <r>
    <s v="B07W9KYT62"/>
    <x v="671"/>
    <x v="0"/>
    <n v="2499"/>
    <n v="3999"/>
    <n v="38"/>
    <n v="4.4000000000000004"/>
    <n v="12679"/>
    <x v="1"/>
  </r>
  <r>
    <s v="B08D9MNH4B"/>
    <x v="672"/>
    <x v="0"/>
    <n v="5899"/>
    <n v="7005"/>
    <n v="16"/>
    <n v="3.6"/>
    <n v="4199"/>
    <x v="1"/>
  </r>
  <r>
    <s v="B09MKG4ZCM"/>
    <x v="673"/>
    <x v="0"/>
    <n v="1565"/>
    <n v="2999"/>
    <n v="48"/>
    <n v="4"/>
    <n v="11113"/>
    <x v="1"/>
  </r>
  <r>
    <s v="B07RZZ1QSW"/>
    <x v="674"/>
    <x v="1"/>
    <n v="326"/>
    <n v="799"/>
    <n v="59"/>
    <n v="4.4000000000000004"/>
    <n v="10773"/>
    <x v="0"/>
  </r>
  <r>
    <s v="B07222HQKP"/>
    <x v="675"/>
    <x v="0"/>
    <n v="657"/>
    <n v="999"/>
    <n v="34"/>
    <n v="4.3"/>
    <n v="13944"/>
    <x v="0"/>
  </r>
  <r>
    <s v="B00NFD0ETQ"/>
    <x v="676"/>
    <x v="0"/>
    <n v="1995"/>
    <n v="2895"/>
    <n v="31"/>
    <n v="4.5999999999999996"/>
    <n v="10760"/>
    <x v="1"/>
  </r>
  <r>
    <s v="B075DB1F13"/>
    <x v="677"/>
    <x v="1"/>
    <n v="1500"/>
    <n v="1500"/>
    <n v="0"/>
    <n v="4.4000000000000004"/>
    <n v="25996"/>
    <x v="0"/>
  </r>
  <r>
    <s v="B0148NPH9I"/>
    <x v="678"/>
    <x v="0"/>
    <n v="2640"/>
    <n v="3195"/>
    <n v="17"/>
    <n v="4.5"/>
    <n v="16146"/>
    <x v="1"/>
  </r>
  <r>
    <s v="B01JOFKL0A"/>
    <x v="679"/>
    <x v="0"/>
    <n v="5299"/>
    <n v="6355"/>
    <n v="17"/>
    <n v="3.9"/>
    <n v="8280"/>
    <x v="1"/>
  </r>
  <r>
    <s v="B079S811J3"/>
    <x v="680"/>
    <x v="0"/>
    <n v="1990"/>
    <n v="2999"/>
    <n v="34"/>
    <n v="4.3"/>
    <n v="14237"/>
    <x v="1"/>
  </r>
  <r>
    <s v="B0083T231O"/>
    <x v="681"/>
    <x v="1"/>
    <n v="1289"/>
    <n v="1499"/>
    <n v="14"/>
    <n v="4.5"/>
    <n v="20668"/>
    <x v="0"/>
  </r>
  <r>
    <s v="B086PXQ2R4"/>
    <x v="682"/>
    <x v="3"/>
    <n v="165"/>
    <n v="165"/>
    <n v="0"/>
    <n v="4.5"/>
    <n v="1674"/>
    <x v="2"/>
  </r>
  <r>
    <s v="B07L1N3TJX"/>
    <x v="683"/>
    <x v="0"/>
    <n v="1699"/>
    <n v="3499"/>
    <n v="51"/>
    <n v="3.6"/>
    <n v="7689"/>
    <x v="1"/>
  </r>
  <r>
    <s v="B07YFWVRCM"/>
    <x v="684"/>
    <x v="1"/>
    <n v="2299"/>
    <n v="7500"/>
    <n v="69"/>
    <n v="4.0999999999999996"/>
    <n v="5554"/>
    <x v="1"/>
  </r>
  <r>
    <s v="B08TDJ5BVF"/>
    <x v="685"/>
    <x v="0"/>
    <n v="39"/>
    <n v="39"/>
    <n v="0"/>
    <n v="3.8"/>
    <n v="3344"/>
    <x v="2"/>
  </r>
  <r>
    <s v="B09XXZXQC1"/>
    <x v="686"/>
    <x v="0"/>
    <n v="26999"/>
    <n v="37999"/>
    <n v="29"/>
    <n v="4.5999999999999996"/>
    <n v="2886"/>
    <x v="1"/>
  </r>
  <r>
    <s v="B083T5G5PM"/>
    <x v="687"/>
    <x v="1"/>
    <n v="1490"/>
    <n v="1990"/>
    <n v="25"/>
    <n v="4.0999999999999996"/>
    <n v="98250"/>
    <x v="0"/>
  </r>
  <r>
    <s v="B0BHVPTM2C"/>
    <x v="688"/>
    <x v="0"/>
    <n v="398"/>
    <n v="1949"/>
    <n v="80"/>
    <n v="4"/>
    <n v="75"/>
    <x v="0"/>
  </r>
  <r>
    <s v="B01NBX5RSB"/>
    <x v="689"/>
    <x v="0"/>
    <n v="770"/>
    <n v="1547"/>
    <n v="50"/>
    <n v="4.3"/>
    <n v="2585"/>
    <x v="0"/>
  </r>
  <r>
    <s v="B08MWJTST6"/>
    <x v="690"/>
    <x v="1"/>
    <n v="279"/>
    <n v="1299"/>
    <n v="79"/>
    <n v="4"/>
    <n v="5072"/>
    <x v="0"/>
  </r>
  <r>
    <s v="B07R99NBVB"/>
    <x v="691"/>
    <x v="5"/>
    <n v="249"/>
    <n v="599"/>
    <n v="58"/>
    <n v="4.5"/>
    <n v="5985"/>
    <x v="0"/>
  </r>
  <r>
    <s v="B00LY12TH6"/>
    <x v="692"/>
    <x v="4"/>
    <n v="230"/>
    <n v="230"/>
    <n v="0"/>
    <n v="4.5"/>
    <n v="9427"/>
    <x v="2"/>
  </r>
  <r>
    <s v="B08497Z1MQ"/>
    <x v="693"/>
    <x v="0"/>
    <n v="599"/>
    <n v="700"/>
    <n v="14"/>
    <n v="4.3"/>
    <n v="2301"/>
    <x v="0"/>
  </r>
  <r>
    <s v="B07KNM95JK"/>
    <x v="694"/>
    <x v="0"/>
    <n v="598"/>
    <n v="1150"/>
    <n v="48"/>
    <n v="4.0999999999999996"/>
    <n v="2535"/>
    <x v="0"/>
  </r>
  <r>
    <s v="B09B9SPC7F"/>
    <x v="695"/>
    <x v="0"/>
    <n v="499"/>
    <n v="1299"/>
    <n v="62"/>
    <n v="4.0999999999999996"/>
    <n v="2740"/>
    <x v="0"/>
  </r>
  <r>
    <s v="B099SD8PRP"/>
    <x v="696"/>
    <x v="0"/>
    <n v="579"/>
    <n v="1090"/>
    <n v="47"/>
    <n v="4.4000000000000004"/>
    <n v="3482"/>
    <x v="0"/>
  </r>
  <r>
    <s v="B00S2SEV7K"/>
    <x v="697"/>
    <x v="3"/>
    <n v="90"/>
    <n v="100"/>
    <n v="10"/>
    <n v="4.0999999999999996"/>
    <n v="6199"/>
    <x v="2"/>
  </r>
  <r>
    <s v="B08WKCTFF3"/>
    <x v="698"/>
    <x v="0"/>
    <n v="899"/>
    <n v="1999"/>
    <n v="55"/>
    <n v="4.4000000000000004"/>
    <n v="1667"/>
    <x v="0"/>
  </r>
  <r>
    <s v="B08498D67S"/>
    <x v="699"/>
    <x v="0"/>
    <n v="1149"/>
    <n v="1800"/>
    <n v="36"/>
    <n v="4.3"/>
    <n v="4723"/>
    <x v="0"/>
  </r>
  <r>
    <s v="B00C3GBCIS"/>
    <x v="700"/>
    <x v="0"/>
    <n v="249"/>
    <n v="499"/>
    <n v="50"/>
    <n v="4.2"/>
    <n v="22860"/>
    <x v="2"/>
  </r>
  <r>
    <s v="B00URH5E34"/>
    <x v="701"/>
    <x v="0"/>
    <n v="39"/>
    <n v="39"/>
    <n v="0"/>
    <n v="3.6"/>
    <n v="13572"/>
    <x v="2"/>
  </r>
  <r>
    <s v="B00EYW1U68"/>
    <x v="702"/>
    <x v="0"/>
    <n v="1599"/>
    <n v="3599"/>
    <n v="56"/>
    <n v="4.2"/>
    <n v="16182"/>
    <x v="1"/>
  </r>
  <r>
    <s v="B08SMJT55F"/>
    <x v="703"/>
    <x v="1"/>
    <n v="1199"/>
    <n v="3990"/>
    <n v="70"/>
    <n v="4.2"/>
    <n v="2908"/>
    <x v="1"/>
  </r>
  <r>
    <s v="B08Y7MXFMK"/>
    <x v="704"/>
    <x v="0"/>
    <n v="1099"/>
    <n v="1499"/>
    <n v="27"/>
    <n v="4.2"/>
    <n v="2375"/>
    <x v="0"/>
  </r>
  <r>
    <s v="B086Q3QMFS"/>
    <x v="705"/>
    <x v="3"/>
    <n v="120"/>
    <n v="120"/>
    <n v="0"/>
    <n v="4.5"/>
    <n v="4951"/>
    <x v="2"/>
  </r>
  <r>
    <s v="B08498H13H"/>
    <x v="706"/>
    <x v="0"/>
    <n v="1519"/>
    <n v="3499"/>
    <n v="57"/>
    <n v="4.3"/>
    <n v="408"/>
    <x v="1"/>
  </r>
  <r>
    <s v="B07LFQLKFZ"/>
    <x v="707"/>
    <x v="3"/>
    <n v="420"/>
    <n v="420"/>
    <n v="0"/>
    <n v="4.2"/>
    <n v="1926"/>
    <x v="2"/>
  </r>
  <r>
    <s v="B00LY17RHI"/>
    <x v="708"/>
    <x v="3"/>
    <n v="225"/>
    <n v="225"/>
    <n v="0"/>
    <n v="4.0999999999999996"/>
    <n v="4798"/>
    <x v="2"/>
  </r>
  <r>
    <s v="B07W14CHV8"/>
    <x v="709"/>
    <x v="0"/>
    <n v="199"/>
    <n v="799"/>
    <n v="75"/>
    <n v="4.0999999999999996"/>
    <n v="7333"/>
    <x v="0"/>
  </r>
  <r>
    <s v="B09F5Z694W"/>
    <x v="710"/>
    <x v="0"/>
    <n v="8349"/>
    <n v="9625"/>
    <n v="13"/>
    <n v="3.8"/>
    <n v="3652"/>
    <x v="1"/>
  </r>
  <r>
    <s v="B0B25LQQPC"/>
    <x v="711"/>
    <x v="0"/>
    <n v="3307"/>
    <n v="6100"/>
    <n v="46"/>
    <n v="4.3"/>
    <n v="2515"/>
    <x v="1"/>
  </r>
  <r>
    <s v="B01LYLJ99X"/>
    <x v="712"/>
    <x v="0"/>
    <n v="449"/>
    <n v="1300"/>
    <n v="65"/>
    <n v="4.2"/>
    <n v="4959"/>
    <x v="0"/>
  </r>
  <r>
    <s v="B014SZPBM4"/>
    <x v="713"/>
    <x v="1"/>
    <n v="380"/>
    <n v="400"/>
    <n v="5"/>
    <n v="4.4000000000000004"/>
    <n v="2111"/>
    <x v="2"/>
  </r>
  <r>
    <s v="B08CZHGHKH"/>
    <x v="714"/>
    <x v="0"/>
    <n v="499"/>
    <n v="1399"/>
    <n v="64"/>
    <n v="3.9"/>
    <n v="1462"/>
    <x v="0"/>
  </r>
  <r>
    <s v="B0B2RBP83P"/>
    <x v="715"/>
    <x v="0"/>
    <n v="37247"/>
    <n v="59890"/>
    <n v="38"/>
    <n v="4"/>
    <n v="323"/>
    <x v="1"/>
  </r>
  <r>
    <s v="B078W65FJ7"/>
    <x v="716"/>
    <x v="1"/>
    <n v="849"/>
    <n v="2490"/>
    <n v="66"/>
    <n v="4.2"/>
    <n v="91188"/>
    <x v="1"/>
  </r>
  <r>
    <s v="B08S74GTBT"/>
    <x v="717"/>
    <x v="1"/>
    <n v="799"/>
    <n v="1999"/>
    <n v="60"/>
    <n v="3.7"/>
    <n v="418"/>
    <x v="0"/>
  </r>
  <r>
    <s v="B07QMRHWJD"/>
    <x v="718"/>
    <x v="0"/>
    <n v="298"/>
    <n v="999"/>
    <n v="70"/>
    <n v="4.3"/>
    <n v="1552"/>
    <x v="0"/>
  </r>
  <r>
    <s v="B07W7Z6DVL"/>
    <x v="719"/>
    <x v="1"/>
    <n v="1499"/>
    <n v="2999"/>
    <n v="50"/>
    <n v="4.0999999999999996"/>
    <n v="25262"/>
    <x v="1"/>
  </r>
  <r>
    <s v="B00H47GVGY"/>
    <x v="720"/>
    <x v="4"/>
    <n v="1199"/>
    <n v="1695"/>
    <n v="29"/>
    <n v="3.6"/>
    <n v="13300"/>
    <x v="0"/>
  </r>
  <r>
    <s v="B07VX71FZP"/>
    <x v="721"/>
    <x v="4"/>
    <n v="1199"/>
    <n v="2000"/>
    <n v="40"/>
    <n v="4"/>
    <n v="18543"/>
    <x v="1"/>
  </r>
  <r>
    <s v="B07NCKMXVZ"/>
    <x v="722"/>
    <x v="4"/>
    <n v="455"/>
    <n v="999"/>
    <n v="54"/>
    <n v="4.0999999999999996"/>
    <n v="3578"/>
    <x v="0"/>
  </r>
  <r>
    <s v="B0B61DSF17"/>
    <x v="723"/>
    <x v="4"/>
    <n v="199"/>
    <n v="1999"/>
    <n v="90"/>
    <n v="3.7"/>
    <n v="2031"/>
    <x v="0"/>
  </r>
  <r>
    <s v="B07VQGVL68"/>
    <x v="724"/>
    <x v="4"/>
    <n v="293"/>
    <n v="499"/>
    <n v="41"/>
    <n v="3.9"/>
    <n v="44994"/>
    <x v="2"/>
  </r>
  <r>
    <s v="B01LWYDEQ7"/>
    <x v="725"/>
    <x v="4"/>
    <n v="199"/>
    <n v="495"/>
    <n v="60"/>
    <n v="4.0999999999999996"/>
    <n v="270563"/>
    <x v="2"/>
  </r>
  <r>
    <s v="B07VNFP3C2"/>
    <x v="726"/>
    <x v="4"/>
    <n v="749"/>
    <n v="1245"/>
    <n v="40"/>
    <n v="3.9"/>
    <n v="31783"/>
    <x v="0"/>
  </r>
  <r>
    <s v="B00LUGTJGO"/>
    <x v="727"/>
    <x v="4"/>
    <n v="1399"/>
    <n v="1549"/>
    <n v="10"/>
    <n v="3.9"/>
    <n v="2602"/>
    <x v="0"/>
  </r>
  <r>
    <s v="B01MQZ7J8K"/>
    <x v="728"/>
    <x v="4"/>
    <n v="749"/>
    <n v="1445"/>
    <n v="48"/>
    <n v="3.9"/>
    <n v="63350"/>
    <x v="0"/>
  </r>
  <r>
    <s v="B01GFTEV5Y"/>
    <x v="729"/>
    <x v="4"/>
    <n v="1699"/>
    <n v="3193"/>
    <n v="47"/>
    <n v="3.8"/>
    <n v="54032"/>
    <x v="1"/>
  </r>
  <r>
    <s v="B00NW4UWN6"/>
    <x v="730"/>
    <x v="4"/>
    <n v="1043"/>
    <n v="1345"/>
    <n v="22"/>
    <n v="3.8"/>
    <n v="15592"/>
    <x v="0"/>
  </r>
  <r>
    <s v="B01NCVJMKX"/>
    <x v="731"/>
    <x v="4"/>
    <n v="499"/>
    <n v="999"/>
    <n v="50"/>
    <n v="4.0999999999999996"/>
    <n v="4859"/>
    <x v="0"/>
  </r>
  <r>
    <s v="B00O24PUO6"/>
    <x v="732"/>
    <x v="4"/>
    <n v="1464"/>
    <n v="1650"/>
    <n v="11"/>
    <n v="4.0999999999999996"/>
    <n v="14120"/>
    <x v="0"/>
  </r>
  <r>
    <s v="B07GXPDLYQ"/>
    <x v="733"/>
    <x v="4"/>
    <n v="249"/>
    <n v="499"/>
    <n v="50"/>
    <n v="3.3"/>
    <n v="8427"/>
    <x v="2"/>
  </r>
  <r>
    <s v="B01C8P29N0"/>
    <x v="734"/>
    <x v="4"/>
    <n v="625"/>
    <n v="1400"/>
    <n v="55"/>
    <n v="4.2"/>
    <n v="23316"/>
    <x v="0"/>
  </r>
  <r>
    <s v="B08KDBLMQP"/>
    <x v="735"/>
    <x v="4"/>
    <n v="1290"/>
    <n v="2500"/>
    <n v="48"/>
    <n v="4"/>
    <n v="6530"/>
    <x v="1"/>
  </r>
  <r>
    <s v="B078JDNZJ8"/>
    <x v="736"/>
    <x v="4"/>
    <n v="3600"/>
    <n v="6190"/>
    <n v="42"/>
    <n v="4.3"/>
    <n v="11924"/>
    <x v="1"/>
  </r>
  <r>
    <s v="B01M5F614J"/>
    <x v="737"/>
    <x v="4"/>
    <n v="6549"/>
    <n v="13999"/>
    <n v="53"/>
    <n v="4"/>
    <n v="2961"/>
    <x v="1"/>
  </r>
  <r>
    <s v="B083GKDRKR"/>
    <x v="738"/>
    <x v="4"/>
    <n v="1625"/>
    <n v="2995"/>
    <n v="46"/>
    <n v="4.5"/>
    <n v="23484"/>
    <x v="1"/>
  </r>
  <r>
    <s v="B097R2V1W8"/>
    <x v="739"/>
    <x v="4"/>
    <n v="2599"/>
    <n v="5890"/>
    <n v="56"/>
    <n v="4.0999999999999996"/>
    <n v="21783"/>
    <x v="1"/>
  </r>
  <r>
    <s v="B07YR26BJ3"/>
    <x v="740"/>
    <x v="4"/>
    <n v="1199"/>
    <n v="2000"/>
    <n v="40"/>
    <n v="4"/>
    <n v="14030"/>
    <x v="1"/>
  </r>
  <r>
    <s v="B097R45BH8"/>
    <x v="741"/>
    <x v="4"/>
    <n v="5499"/>
    <n v="13150"/>
    <n v="58"/>
    <n v="4.2"/>
    <n v="6398"/>
    <x v="1"/>
  </r>
  <r>
    <s v="B09X5C9VLK"/>
    <x v="742"/>
    <x v="4"/>
    <n v="1299"/>
    <n v="3500"/>
    <n v="63"/>
    <n v="3.8"/>
    <n v="44050"/>
    <x v="1"/>
  </r>
  <r>
    <s v="B01C8P29T4"/>
    <x v="743"/>
    <x v="4"/>
    <n v="599"/>
    <n v="785"/>
    <n v="24"/>
    <n v="4.2"/>
    <n v="24247"/>
    <x v="0"/>
  </r>
  <r>
    <s v="B00HVXS7WC"/>
    <x v="744"/>
    <x v="4"/>
    <n v="1999"/>
    <n v="3210"/>
    <n v="38"/>
    <n v="4.2"/>
    <n v="41349"/>
    <x v="1"/>
  </r>
  <r>
    <s v="B096YCN3SD"/>
    <x v="745"/>
    <x v="4"/>
    <n v="549"/>
    <n v="1000"/>
    <n v="45"/>
    <n v="3.6"/>
    <n v="1074"/>
    <x v="0"/>
  </r>
  <r>
    <s v="B09LQH3SD9"/>
    <x v="746"/>
    <x v="4"/>
    <n v="999"/>
    <n v="2000"/>
    <n v="50"/>
    <n v="3.8"/>
    <n v="1163"/>
    <x v="1"/>
  </r>
  <r>
    <s v="B09KNMLH4Y"/>
    <x v="747"/>
    <x v="4"/>
    <n v="398"/>
    <n v="1999"/>
    <n v="80"/>
    <n v="4.0999999999999996"/>
    <n v="257"/>
    <x v="0"/>
  </r>
  <r>
    <s v="B00ABMASXG"/>
    <x v="748"/>
    <x v="4"/>
    <n v="539"/>
    <n v="720"/>
    <n v="25"/>
    <n v="4.0999999999999996"/>
    <n v="36017"/>
    <x v="0"/>
  </r>
  <r>
    <s v="B07QDSN9V6"/>
    <x v="749"/>
    <x v="4"/>
    <n v="699"/>
    <n v="1595"/>
    <n v="56"/>
    <n v="4.0999999999999996"/>
    <n v="8090"/>
    <x v="0"/>
  </r>
  <r>
    <s v="B00YMJ0OI8"/>
    <x v="750"/>
    <x v="4"/>
    <n v="2148"/>
    <n v="3645"/>
    <n v="41"/>
    <n v="4.0999999999999996"/>
    <n v="31388"/>
    <x v="1"/>
  </r>
  <r>
    <s v="B0B8XNPQPN"/>
    <x v="751"/>
    <x v="4"/>
    <n v="3599"/>
    <n v="7950"/>
    <n v="55"/>
    <n v="4.2"/>
    <n v="136"/>
    <x v="1"/>
  </r>
  <r>
    <s v="B008QTK47Q"/>
    <x v="752"/>
    <x v="4"/>
    <n v="1614"/>
    <n v="1745"/>
    <n v="8"/>
    <n v="4.3"/>
    <n v="37974"/>
    <x v="0"/>
  </r>
  <r>
    <s v="B088ZTJT2R"/>
    <x v="753"/>
    <x v="4"/>
    <n v="719"/>
    <n v="1295"/>
    <n v="44"/>
    <n v="4.2"/>
    <n v="17218"/>
    <x v="0"/>
  </r>
  <r>
    <s v="B0BK1K598K"/>
    <x v="754"/>
    <x v="4"/>
    <n v="678"/>
    <n v="1499"/>
    <n v="55"/>
    <n v="4.2"/>
    <n v="900"/>
    <x v="0"/>
  </r>
  <r>
    <s v="B09Y5FZK9N"/>
    <x v="755"/>
    <x v="4"/>
    <n v="809"/>
    <n v="1545"/>
    <n v="48"/>
    <n v="3.7"/>
    <n v="976"/>
    <x v="0"/>
  </r>
  <r>
    <s v="B09J2SCVQT"/>
    <x v="756"/>
    <x v="4"/>
    <n v="1969"/>
    <n v="5000"/>
    <n v="61"/>
    <n v="4.0999999999999996"/>
    <n v="4927"/>
    <x v="1"/>
  </r>
  <r>
    <s v="B00TDD0YM4"/>
    <x v="757"/>
    <x v="4"/>
    <n v="1490"/>
    <n v="1695"/>
    <n v="12"/>
    <n v="4.4000000000000004"/>
    <n v="3543"/>
    <x v="0"/>
  </r>
  <r>
    <s v="B078KRFWQB"/>
    <x v="758"/>
    <x v="4"/>
    <n v="2499"/>
    <n v="3945"/>
    <n v="37"/>
    <n v="3.8"/>
    <n v="2732"/>
    <x v="1"/>
  </r>
  <r>
    <s v="B07SRM58TP"/>
    <x v="759"/>
    <x v="4"/>
    <n v="1665"/>
    <n v="2099"/>
    <n v="21"/>
    <n v="4"/>
    <n v="14368"/>
    <x v="1"/>
  </r>
  <r>
    <s v="B00EDJJ7FS"/>
    <x v="760"/>
    <x v="4"/>
    <n v="3229"/>
    <n v="5295"/>
    <n v="39"/>
    <n v="4.2"/>
    <n v="39724"/>
    <x v="1"/>
  </r>
  <r>
    <s v="B0832W3B7Q"/>
    <x v="761"/>
    <x v="4"/>
    <n v="1799"/>
    <n v="3595"/>
    <n v="50"/>
    <n v="3.8"/>
    <n v="9791"/>
    <x v="1"/>
  </r>
  <r>
    <s v="B07WNK1FFN"/>
    <x v="762"/>
    <x v="4"/>
    <n v="1260"/>
    <n v="1699"/>
    <n v="26"/>
    <n v="4.2"/>
    <n v="2891"/>
    <x v="0"/>
  </r>
  <r>
    <s v="B009P2LK08"/>
    <x v="763"/>
    <x v="4"/>
    <n v="749"/>
    <n v="1129"/>
    <n v="34"/>
    <n v="4"/>
    <n v="2446"/>
    <x v="0"/>
  </r>
  <r>
    <s v="B07DGD4Z4C"/>
    <x v="764"/>
    <x v="4"/>
    <n v="3499"/>
    <n v="5795"/>
    <n v="40"/>
    <n v="3.9"/>
    <n v="25340"/>
    <x v="1"/>
  </r>
  <r>
    <s v="B07GMFY9QM"/>
    <x v="765"/>
    <x v="4"/>
    <n v="379"/>
    <n v="999"/>
    <n v="62"/>
    <n v="4.3"/>
    <n v="3096"/>
    <x v="0"/>
  </r>
  <r>
    <s v="B0BGPN4GGH"/>
    <x v="766"/>
    <x v="4"/>
    <n v="1099"/>
    <n v="2400"/>
    <n v="54"/>
    <n v="3.8"/>
    <n v="4"/>
    <x v="1"/>
  </r>
  <r>
    <s v="B0B2DZ5S6R"/>
    <x v="767"/>
    <x v="4"/>
    <n v="749"/>
    <n v="1299"/>
    <n v="42"/>
    <n v="4"/>
    <n v="119"/>
    <x v="0"/>
  </r>
  <r>
    <s v="B07S851WX5"/>
    <x v="768"/>
    <x v="4"/>
    <n v="1299"/>
    <n v="1299"/>
    <n v="0"/>
    <n v="4.2"/>
    <n v="40106"/>
    <x v="0"/>
  </r>
  <r>
    <s v="B01MY839VW"/>
    <x v="769"/>
    <x v="4"/>
    <n v="549"/>
    <n v="1090"/>
    <n v="50"/>
    <n v="4.2"/>
    <n v="13029"/>
    <x v="0"/>
  </r>
  <r>
    <s v="B09LV1CMGH"/>
    <x v="770"/>
    <x v="4"/>
    <n v="899"/>
    <n v="2000"/>
    <n v="55"/>
    <n v="3.6"/>
    <n v="291"/>
    <x v="1"/>
  </r>
  <r>
    <s v="B01EY310UM"/>
    <x v="771"/>
    <x v="4"/>
    <n v="1321"/>
    <n v="1545"/>
    <n v="14"/>
    <n v="4.3"/>
    <n v="15453"/>
    <x v="0"/>
  </r>
  <r>
    <s v="B09NL7LBWT"/>
    <x v="772"/>
    <x v="4"/>
    <n v="1099"/>
    <n v="1999"/>
    <n v="45"/>
    <n v="4"/>
    <n v="604"/>
    <x v="0"/>
  </r>
  <r>
    <s v="B008YW8M0G"/>
    <x v="773"/>
    <x v="4"/>
    <n v="775"/>
    <n v="875"/>
    <n v="11"/>
    <n v="4.2"/>
    <n v="46647"/>
    <x v="0"/>
  </r>
  <r>
    <s v="B097R3XH9R"/>
    <x v="774"/>
    <x v="4"/>
    <n v="6299"/>
    <n v="15270"/>
    <n v="59"/>
    <n v="4.0999999999999996"/>
    <n v="3233"/>
    <x v="1"/>
  </r>
  <r>
    <s v="B08TM71L54"/>
    <x v="775"/>
    <x v="4"/>
    <n v="3190"/>
    <n v="4195"/>
    <n v="24"/>
    <n v="4"/>
    <n v="1282"/>
    <x v="1"/>
  </r>
  <r>
    <s v="B0BPBXNQQT"/>
    <x v="776"/>
    <x v="4"/>
    <n v="799"/>
    <n v="1989"/>
    <n v="60"/>
    <n v="4.3"/>
    <n v="70"/>
    <x v="0"/>
  </r>
  <r>
    <s v="B00W56GLOQ"/>
    <x v="777"/>
    <x v="4"/>
    <n v="2699"/>
    <n v="5000"/>
    <n v="46"/>
    <n v="4"/>
    <n v="26164"/>
    <x v="1"/>
  </r>
  <r>
    <s v="B0883KDSXC"/>
    <x v="778"/>
    <x v="4"/>
    <n v="599"/>
    <n v="990"/>
    <n v="39"/>
    <n v="3.9"/>
    <n v="16166"/>
    <x v="0"/>
  </r>
  <r>
    <s v="B078V8R9BS"/>
    <x v="779"/>
    <x v="4"/>
    <n v="749"/>
    <n v="1111"/>
    <n v="33"/>
    <n v="4.2"/>
    <n v="35693"/>
    <x v="0"/>
  </r>
  <r>
    <s v="B08GSQXLJ2"/>
    <x v="780"/>
    <x v="4"/>
    <n v="6199"/>
    <n v="10400"/>
    <n v="40"/>
    <n v="4.0999999999999996"/>
    <n v="14391"/>
    <x v="1"/>
  </r>
  <r>
    <s v="B01M5B0TPW"/>
    <x v="781"/>
    <x v="4"/>
    <n v="1819"/>
    <n v="2490"/>
    <n v="27"/>
    <n v="4.4000000000000004"/>
    <n v="7946"/>
    <x v="1"/>
  </r>
  <r>
    <s v="B082KVTRW8"/>
    <x v="782"/>
    <x v="4"/>
    <n v="1199"/>
    <n v="1900"/>
    <n v="37"/>
    <n v="4"/>
    <n v="1765"/>
    <x v="0"/>
  </r>
  <r>
    <s v="B08CFJBZRK"/>
    <x v="783"/>
    <x v="4"/>
    <n v="3249"/>
    <n v="6295"/>
    <n v="48"/>
    <n v="3.8"/>
    <n v="14062"/>
    <x v="1"/>
  </r>
  <r>
    <s v="B07H3WDC4X"/>
    <x v="784"/>
    <x v="4"/>
    <n v="349"/>
    <n v="999"/>
    <n v="65"/>
    <n v="4"/>
    <n v="15646"/>
    <x v="0"/>
  </r>
  <r>
    <s v="B09ZTZ9N3Q"/>
    <x v="785"/>
    <x v="4"/>
    <n v="1049"/>
    <n v="1699"/>
    <n v="38"/>
    <n v="3.1"/>
    <n v="111"/>
    <x v="0"/>
  </r>
  <r>
    <s v="B083P71WKK"/>
    <x v="786"/>
    <x v="4"/>
    <n v="799"/>
    <n v="1500"/>
    <n v="47"/>
    <n v="4.3"/>
    <n v="9695"/>
    <x v="0"/>
  </r>
  <r>
    <s v="B097R4D42G"/>
    <x v="787"/>
    <x v="4"/>
    <n v="4999"/>
    <n v="9650"/>
    <n v="48"/>
    <n v="4.2"/>
    <n v="1772"/>
    <x v="1"/>
  </r>
  <r>
    <s v="B07MKMFKPG"/>
    <x v="788"/>
    <x v="4"/>
    <n v="6999"/>
    <n v="10590"/>
    <n v="34"/>
    <n v="4.4000000000000004"/>
    <n v="11499"/>
    <x v="1"/>
  </r>
  <r>
    <s v="B0949FPSFY"/>
    <x v="789"/>
    <x v="4"/>
    <n v="799"/>
    <n v="1999"/>
    <n v="60"/>
    <n v="4.0999999999999996"/>
    <n v="2162"/>
    <x v="0"/>
  </r>
  <r>
    <s v="B08F47T4X5"/>
    <x v="790"/>
    <x v="4"/>
    <n v="89"/>
    <n v="89"/>
    <n v="0"/>
    <n v="4.2"/>
    <n v="19621"/>
    <x v="2"/>
  </r>
  <r>
    <s v="B01M0505SJ"/>
    <x v="791"/>
    <x v="4"/>
    <n v="1400"/>
    <n v="2485"/>
    <n v="44"/>
    <n v="4.0999999999999996"/>
    <n v="19998"/>
    <x v="1"/>
  </r>
  <r>
    <s v="B08D6RCM3Q"/>
    <x v="792"/>
    <x v="4"/>
    <n v="355"/>
    <n v="899"/>
    <n v="61"/>
    <n v="4.0999999999999996"/>
    <n v="1051"/>
    <x v="0"/>
  </r>
  <r>
    <s v="B009P2LITG"/>
    <x v="793"/>
    <x v="4"/>
    <n v="2169"/>
    <n v="3279"/>
    <n v="34"/>
    <n v="4.0999999999999996"/>
    <n v="1716"/>
    <x v="1"/>
  </r>
  <r>
    <s v="B00V9NHDI4"/>
    <x v="794"/>
    <x v="4"/>
    <n v="2799"/>
    <n v="3799"/>
    <n v="26"/>
    <n v="3.9"/>
    <n v="32931"/>
    <x v="1"/>
  </r>
  <r>
    <s v="B07WGPBXY9"/>
    <x v="795"/>
    <x v="4"/>
    <n v="899"/>
    <n v="1249"/>
    <n v="28"/>
    <n v="3.9"/>
    <n v="17424"/>
    <x v="0"/>
  </r>
  <r>
    <s v="B00KRCBA6E"/>
    <x v="796"/>
    <x v="4"/>
    <n v="2499"/>
    <n v="5000"/>
    <n v="50"/>
    <n v="3.8"/>
    <n v="1889"/>
    <x v="1"/>
  </r>
  <r>
    <s v="B0B3X2BY3M"/>
    <x v="797"/>
    <x v="4"/>
    <n v="3599"/>
    <n v="7299"/>
    <n v="51"/>
    <n v="4"/>
    <n v="10324"/>
    <x v="1"/>
  </r>
  <r>
    <s v="B00F159RIK"/>
    <x v="798"/>
    <x v="4"/>
    <n v="499"/>
    <n v="625"/>
    <n v="20"/>
    <n v="4.2"/>
    <n v="5355"/>
    <x v="0"/>
  </r>
  <r>
    <s v="B08MV82R99"/>
    <x v="799"/>
    <x v="4"/>
    <n v="653"/>
    <n v="1020"/>
    <n v="36"/>
    <n v="4.0999999999999996"/>
    <n v="3366"/>
    <x v="0"/>
  </r>
  <r>
    <s v="B09VKWGZD7"/>
    <x v="800"/>
    <x v="4"/>
    <n v="4789"/>
    <n v="8990"/>
    <n v="47"/>
    <n v="4.3"/>
    <n v="1017"/>
    <x v="1"/>
  </r>
  <r>
    <s v="B009P2LK80"/>
    <x v="801"/>
    <x v="4"/>
    <n v="1409"/>
    <n v="1639"/>
    <n v="14"/>
    <n v="3.7"/>
    <n v="787"/>
    <x v="0"/>
  </r>
  <r>
    <s v="B00A7PLVU6"/>
    <x v="802"/>
    <x v="4"/>
    <n v="753"/>
    <n v="899"/>
    <n v="16"/>
    <n v="4.2"/>
    <n v="18462"/>
    <x v="0"/>
  </r>
  <r>
    <s v="B0B25DJ352"/>
    <x v="803"/>
    <x v="4"/>
    <n v="353"/>
    <n v="1199"/>
    <n v="71"/>
    <n v="4.3"/>
    <n v="629"/>
    <x v="0"/>
  </r>
  <r>
    <s v="B013B2WGT6"/>
    <x v="804"/>
    <x v="4"/>
    <n v="1099"/>
    <n v="1899"/>
    <n v="42"/>
    <n v="4.3"/>
    <n v="15276"/>
    <x v="0"/>
  </r>
  <r>
    <s v="B097RJ867P"/>
    <x v="805"/>
    <x v="4"/>
    <n v="8799"/>
    <n v="11595"/>
    <n v="24"/>
    <n v="4.4000000000000004"/>
    <n v="2981"/>
    <x v="1"/>
  </r>
  <r>
    <s v="B091V8HK8Z"/>
    <x v="806"/>
    <x v="4"/>
    <n v="1345"/>
    <n v="1750"/>
    <n v="23"/>
    <n v="3.8"/>
    <n v="2466"/>
    <x v="0"/>
  </r>
  <r>
    <s v="B071VNHMX2"/>
    <x v="807"/>
    <x v="4"/>
    <n v="2095"/>
    <n v="2095"/>
    <n v="0"/>
    <n v="4.5"/>
    <n v="7949"/>
    <x v="1"/>
  </r>
  <r>
    <s v="B08MVSGXMY"/>
    <x v="808"/>
    <x v="4"/>
    <n v="1498"/>
    <n v="2300"/>
    <n v="35"/>
    <n v="3.8"/>
    <n v="95"/>
    <x v="1"/>
  </r>
  <r>
    <s v="B00H0B29DI"/>
    <x v="809"/>
    <x v="4"/>
    <n v="2199"/>
    <n v="2990"/>
    <n v="26"/>
    <n v="3.8"/>
    <n v="1558"/>
    <x v="1"/>
  </r>
  <r>
    <s v="B01GZSQJPA"/>
    <x v="810"/>
    <x v="4"/>
    <n v="3699"/>
    <n v="4295"/>
    <n v="14"/>
    <n v="4.0999999999999996"/>
    <n v="26543"/>
    <x v="1"/>
  </r>
  <r>
    <s v="B08VGFX2B6"/>
    <x v="811"/>
    <x v="4"/>
    <n v="177"/>
    <n v="199"/>
    <n v="11"/>
    <n v="4.0999999999999996"/>
    <n v="3688"/>
    <x v="2"/>
  </r>
  <r>
    <s v="B09GYBZPHF"/>
    <x v="812"/>
    <x v="4"/>
    <n v="1149"/>
    <n v="2499"/>
    <n v="54"/>
    <n v="3.8"/>
    <n v="4383"/>
    <x v="1"/>
  </r>
  <r>
    <s v="B0B4KPCBSH"/>
    <x v="813"/>
    <x v="4"/>
    <n v="244"/>
    <n v="499"/>
    <n v="51"/>
    <n v="3.3"/>
    <n v="478"/>
    <x v="2"/>
  </r>
  <r>
    <s v="B09CGLY5CX"/>
    <x v="814"/>
    <x v="4"/>
    <n v="1959"/>
    <n v="2400"/>
    <n v="18"/>
    <n v="4"/>
    <n v="237"/>
    <x v="1"/>
  </r>
  <r>
    <s v="B09JN37WBX"/>
    <x v="815"/>
    <x v="4"/>
    <n v="319"/>
    <n v="749"/>
    <n v="57"/>
    <n v="4.5999999999999996"/>
    <n v="124"/>
    <x v="0"/>
  </r>
  <r>
    <s v="B01I1LDZGA"/>
    <x v="816"/>
    <x v="4"/>
    <n v="1499"/>
    <n v="1775"/>
    <n v="16"/>
    <n v="3.9"/>
    <n v="14667"/>
    <x v="0"/>
  </r>
  <r>
    <s v="B0BN2576GQ"/>
    <x v="817"/>
    <x v="4"/>
    <n v="469"/>
    <n v="1599"/>
    <n v="71"/>
    <n v="3.7"/>
    <n v="6"/>
    <x v="0"/>
  </r>
  <r>
    <s v="B06XPYRWV5"/>
    <x v="818"/>
    <x v="4"/>
    <n v="1099"/>
    <n v="1795"/>
    <n v="39"/>
    <n v="4.2"/>
    <n v="4244"/>
    <x v="0"/>
  </r>
  <r>
    <s v="B01N1XVVLC"/>
    <x v="819"/>
    <x v="4"/>
    <n v="9590"/>
    <n v="15999"/>
    <n v="40"/>
    <n v="4.0999999999999996"/>
    <n v="1017"/>
    <x v="1"/>
  </r>
  <r>
    <s v="B00O2R38C4"/>
    <x v="820"/>
    <x v="4"/>
    <n v="999"/>
    <n v="1490"/>
    <n v="33"/>
    <n v="4.0999999999999996"/>
    <n v="12999"/>
    <x v="0"/>
  </r>
  <r>
    <s v="B0B2CZTCL2"/>
    <x v="821"/>
    <x v="4"/>
    <n v="1299"/>
    <n v="1999"/>
    <n v="35"/>
    <n v="3.8"/>
    <n v="311"/>
    <x v="0"/>
  </r>
  <r>
    <s v="B00PVT30YI"/>
    <x v="822"/>
    <x v="4"/>
    <n v="292"/>
    <n v="499"/>
    <n v="41"/>
    <n v="4.0999999999999996"/>
    <n v="4238"/>
    <x v="2"/>
  </r>
  <r>
    <s v="B00SH18114"/>
    <x v="823"/>
    <x v="4"/>
    <n v="160"/>
    <n v="299"/>
    <n v="46"/>
    <n v="4.5999999999999996"/>
    <n v="2781"/>
    <x v="2"/>
  </r>
  <r>
    <s v="B0756K5DYZ"/>
    <x v="824"/>
    <x v="4"/>
    <n v="3249"/>
    <n v="6295"/>
    <n v="48"/>
    <n v="3.9"/>
    <n v="43070"/>
    <x v="1"/>
  </r>
  <r>
    <s v="B0188KPKB2"/>
    <x v="825"/>
    <x v="4"/>
    <n v="3599"/>
    <n v="9455"/>
    <n v="62"/>
    <n v="4.0999999999999996"/>
    <n v="11828"/>
    <x v="1"/>
  </r>
  <r>
    <s v="B091KNVNS9"/>
    <x v="826"/>
    <x v="4"/>
    <n v="368"/>
    <n v="699"/>
    <n v="47"/>
    <n v="4.0999999999999996"/>
    <n v="1240"/>
    <x v="0"/>
  </r>
  <r>
    <s v="B075JJ5NQC"/>
    <x v="827"/>
    <x v="4"/>
    <n v="3199"/>
    <n v="4999"/>
    <n v="36"/>
    <n v="4"/>
    <n v="20869"/>
    <x v="1"/>
  </r>
  <r>
    <s v="B0B5KZ3C53"/>
    <x v="828"/>
    <x v="4"/>
    <n v="1599"/>
    <n v="2900"/>
    <n v="45"/>
    <n v="3.7"/>
    <n v="441"/>
    <x v="1"/>
  </r>
  <r>
    <s v="B09NTHQRW3"/>
    <x v="829"/>
    <x v="4"/>
    <n v="1999"/>
    <n v="2499"/>
    <n v="20"/>
    <n v="4.0999999999999996"/>
    <n v="1034"/>
    <x v="1"/>
  </r>
  <r>
    <s v="B008YW3CYM"/>
    <x v="830"/>
    <x v="4"/>
    <n v="616"/>
    <n v="1190"/>
    <n v="48"/>
    <n v="4.0999999999999996"/>
    <n v="37126"/>
    <x v="0"/>
  </r>
  <r>
    <s v="B07QHHCB27"/>
    <x v="831"/>
    <x v="4"/>
    <n v="1499"/>
    <n v="2100"/>
    <n v="29"/>
    <n v="4.0999999999999996"/>
    <n v="6355"/>
    <x v="1"/>
  </r>
  <r>
    <s v="B0BMFD94VD"/>
    <x v="832"/>
    <x v="4"/>
    <n v="199"/>
    <n v="499"/>
    <n v="60"/>
    <n v="3.3"/>
    <n v="12"/>
    <x v="2"/>
  </r>
  <r>
    <s v="B00HZIOGXW"/>
    <x v="833"/>
    <x v="4"/>
    <n v="610"/>
    <n v="825"/>
    <n v="26"/>
    <n v="4.0999999999999996"/>
    <n v="13165"/>
    <x v="0"/>
  </r>
  <r>
    <s v="B09CKSYBLR"/>
    <x v="834"/>
    <x v="4"/>
    <n v="999"/>
    <n v="1499"/>
    <n v="33"/>
    <n v="4.0999999999999996"/>
    <n v="1646"/>
    <x v="0"/>
  </r>
  <r>
    <s v="B072J83V9W"/>
    <x v="835"/>
    <x v="4"/>
    <n v="8999"/>
    <n v="9995"/>
    <n v="10"/>
    <n v="4.4000000000000004"/>
    <n v="17994"/>
    <x v="1"/>
  </r>
  <r>
    <s v="B09MTLG4TP"/>
    <x v="836"/>
    <x v="4"/>
    <n v="453"/>
    <n v="999"/>
    <n v="55"/>
    <n v="4.3"/>
    <n v="610"/>
    <x v="0"/>
  </r>
  <r>
    <s v="B097XJQZ8H"/>
    <x v="837"/>
    <x v="4"/>
    <n v="2464"/>
    <n v="6000"/>
    <n v="59"/>
    <n v="4.0999999999999996"/>
    <n v="8866"/>
    <x v="1"/>
  </r>
  <r>
    <s v="B00935MD1C"/>
    <x v="838"/>
    <x v="4"/>
    <n v="2719"/>
    <n v="3945"/>
    <n v="31"/>
    <n v="3.7"/>
    <n v="13406"/>
    <x v="1"/>
  </r>
  <r>
    <s v="B0BR4F878Q"/>
    <x v="839"/>
    <x v="4"/>
    <n v="1439"/>
    <n v="1999"/>
    <n v="28"/>
    <n v="4.8"/>
    <n v="53803"/>
    <x v="0"/>
  </r>
  <r>
    <s v="B07WKB69RS"/>
    <x v="840"/>
    <x v="4"/>
    <n v="2088"/>
    <n v="5550"/>
    <n v="62"/>
    <n v="4"/>
    <n v="5292"/>
    <x v="1"/>
  </r>
  <r>
    <s v="B09DL9978Y"/>
    <x v="841"/>
    <x v="4"/>
    <n v="2399"/>
    <n v="4590"/>
    <n v="48"/>
    <n v="4.0999999999999996"/>
    <n v="444"/>
    <x v="1"/>
  </r>
  <r>
    <s v="B06XMZV7RH"/>
    <x v="842"/>
    <x v="4"/>
    <n v="308"/>
    <n v="499"/>
    <n v="38"/>
    <n v="3.9"/>
    <n v="4584"/>
    <x v="2"/>
  </r>
  <r>
    <s v="B09WMTJPG7"/>
    <x v="843"/>
    <x v="4"/>
    <n v="2599"/>
    <n v="4400"/>
    <n v="41"/>
    <n v="4.0999999999999996"/>
    <n v="14947"/>
    <x v="1"/>
  </r>
  <r>
    <s v="B09ZK6THRR"/>
    <x v="844"/>
    <x v="4"/>
    <n v="479"/>
    <n v="1000"/>
    <n v="52"/>
    <n v="4.2"/>
    <n v="1559"/>
    <x v="0"/>
  </r>
  <r>
    <s v="B07MP21WJD"/>
    <x v="845"/>
    <x v="4"/>
    <n v="245"/>
    <n v="299"/>
    <n v="18"/>
    <n v="4.0999999999999996"/>
    <n v="1660"/>
    <x v="2"/>
  </r>
  <r>
    <s v="B09XB1R2F3"/>
    <x v="846"/>
    <x v="4"/>
    <n v="179"/>
    <n v="799"/>
    <n v="78"/>
    <n v="3.5"/>
    <n v="132"/>
    <x v="0"/>
  </r>
  <r>
    <s v="B08Y5QJXSR"/>
    <x v="847"/>
    <x v="4"/>
    <n v="3569"/>
    <n v="5190"/>
    <n v="31"/>
    <n v="4.3"/>
    <n v="28629"/>
    <x v="1"/>
  </r>
  <r>
    <s v="B07WJXCTG9"/>
    <x v="848"/>
    <x v="4"/>
    <n v="699"/>
    <n v="1345"/>
    <n v="48"/>
    <n v="3.9"/>
    <n v="8446"/>
    <x v="0"/>
  </r>
  <r>
    <s v="B09NBZ36F7"/>
    <x v="849"/>
    <x v="4"/>
    <n v="2089"/>
    <n v="4000"/>
    <n v="48"/>
    <n v="4.2"/>
    <n v="11199"/>
    <x v="1"/>
  </r>
  <r>
    <s v="B0912WJ87V"/>
    <x v="850"/>
    <x v="7"/>
    <n v="2339"/>
    <n v="4000"/>
    <n v="42"/>
    <n v="3.8"/>
    <n v="1118"/>
    <x v="1"/>
  </r>
  <r>
    <s v="B0BMTZ4T1D"/>
    <x v="851"/>
    <x v="4"/>
    <n v="784"/>
    <n v="1599"/>
    <n v="51"/>
    <n v="4.5"/>
    <n v="11"/>
    <x v="0"/>
  </r>
  <r>
    <s v="B07Z51CGGH"/>
    <x v="852"/>
    <x v="4"/>
    <n v="5499"/>
    <n v="9999"/>
    <n v="45"/>
    <n v="3.8"/>
    <n v="4353"/>
    <x v="1"/>
  </r>
  <r>
    <s v="B0BDG6QDYD"/>
    <x v="853"/>
    <x v="4"/>
    <n v="899"/>
    <n v="1990"/>
    <n v="55"/>
    <n v="4.0999999999999996"/>
    <n v="185"/>
    <x v="0"/>
  </r>
  <r>
    <s v="B00YQLG7GK"/>
    <x v="854"/>
    <x v="4"/>
    <n v="1695"/>
    <n v="1695"/>
    <n v="0"/>
    <n v="4.2"/>
    <n v="14290"/>
    <x v="0"/>
  </r>
  <r>
    <s v="B0B9RN5X8B"/>
    <x v="855"/>
    <x v="4"/>
    <n v="2699"/>
    <n v="4700"/>
    <n v="43"/>
    <n v="4.2"/>
    <n v="1296"/>
    <x v="1"/>
  </r>
  <r>
    <s v="B08QW937WV"/>
    <x v="856"/>
    <x v="4"/>
    <n v="1448"/>
    <n v="2999"/>
    <n v="52"/>
    <n v="4.5"/>
    <n v="19"/>
    <x v="1"/>
  </r>
  <r>
    <s v="B0B4PPD89B"/>
    <x v="857"/>
    <x v="4"/>
    <n v="79"/>
    <n v="79"/>
    <n v="0"/>
    <n v="4"/>
    <n v="97"/>
    <x v="2"/>
  </r>
  <r>
    <s v="B08GM5S4CQ"/>
    <x v="858"/>
    <x v="4"/>
    <n v="6990"/>
    <n v="14290"/>
    <n v="51"/>
    <n v="4.4000000000000004"/>
    <n v="1771"/>
    <x v="1"/>
  </r>
  <r>
    <s v="B00NM6MO26"/>
    <x v="859"/>
    <x v="4"/>
    <n v="2698"/>
    <n v="3945"/>
    <n v="32"/>
    <n v="4"/>
    <n v="15034"/>
    <x v="1"/>
  </r>
  <r>
    <s v="B083M7WPZD"/>
    <x v="860"/>
    <x v="4"/>
    <n v="3199"/>
    <n v="5999"/>
    <n v="47"/>
    <n v="4"/>
    <n v="3242"/>
    <x v="1"/>
  </r>
  <r>
    <s v="B07GLSKXS1"/>
    <x v="861"/>
    <x v="4"/>
    <n v="1199"/>
    <n v="1950"/>
    <n v="39"/>
    <n v="3.9"/>
    <n v="2832"/>
    <x v="0"/>
  </r>
  <r>
    <s v="B09F6KL23R"/>
    <x v="862"/>
    <x v="4"/>
    <n v="1414"/>
    <n v="2799"/>
    <n v="49"/>
    <n v="4"/>
    <n v="1498"/>
    <x v="1"/>
  </r>
  <r>
    <s v="B094G9L9LT"/>
    <x v="863"/>
    <x v="4"/>
    <n v="999"/>
    <n v="1950"/>
    <n v="49"/>
    <n v="3.8"/>
    <n v="305"/>
    <x v="0"/>
  </r>
  <r>
    <s v="B09FZ89DK6"/>
    <x v="864"/>
    <x v="4"/>
    <n v="5999"/>
    <n v="9999"/>
    <n v="40"/>
    <n v="4.2"/>
    <n v="1191"/>
    <x v="1"/>
  </r>
  <r>
    <s v="B0811VCGL5"/>
    <x v="865"/>
    <x v="4"/>
    <n v="9970"/>
    <n v="12999"/>
    <n v="23"/>
    <n v="4.3"/>
    <n v="4049"/>
    <x v="1"/>
  </r>
  <r>
    <s v="B07FXLC2G2"/>
    <x v="866"/>
    <x v="4"/>
    <n v="698"/>
    <n v="699"/>
    <n v="0"/>
    <n v="4.2"/>
    <n v="3160"/>
    <x v="0"/>
  </r>
  <r>
    <s v="B083RC4WFJ"/>
    <x v="867"/>
    <x v="4"/>
    <n v="320"/>
    <n v="799"/>
    <n v="60"/>
    <n v="4.2"/>
    <n v="3846"/>
    <x v="0"/>
  </r>
  <r>
    <s v="B09SFRNKSR"/>
    <x v="868"/>
    <x v="4"/>
    <n v="298"/>
    <n v="499"/>
    <n v="40"/>
    <n v="4.4000000000000004"/>
    <n v="290"/>
    <x v="2"/>
  </r>
  <r>
    <s v="B07NRTCDS5"/>
    <x v="869"/>
    <x v="4"/>
    <n v="1199"/>
    <n v="1499"/>
    <n v="20"/>
    <n v="3.8"/>
    <n v="2206"/>
    <x v="0"/>
  </r>
  <r>
    <s v="B07SPVMSC6"/>
    <x v="870"/>
    <x v="4"/>
    <n v="1399"/>
    <n v="2660"/>
    <n v="47"/>
    <n v="4.0999999999999996"/>
    <n v="9349"/>
    <x v="1"/>
  </r>
  <r>
    <s v="B09H3BXWTK"/>
    <x v="871"/>
    <x v="4"/>
    <n v="599"/>
    <n v="2799"/>
    <n v="79"/>
    <n v="3.9"/>
    <n v="578"/>
    <x v="1"/>
  </r>
  <r>
    <s v="B0073QGKAS"/>
    <x v="872"/>
    <x v="4"/>
    <n v="1499"/>
    <n v="1499"/>
    <n v="0"/>
    <n v="4.3"/>
    <n v="9331"/>
    <x v="0"/>
  </r>
  <r>
    <s v="B08GJ57MKL"/>
    <x v="873"/>
    <x v="4"/>
    <n v="14400"/>
    <n v="59900"/>
    <n v="76"/>
    <n v="4.4000000000000004"/>
    <n v="3837"/>
    <x v="1"/>
  </r>
  <r>
    <s v="B009DA69W6"/>
    <x v="874"/>
    <x v="4"/>
    <n v="1699"/>
    <n v="1900"/>
    <n v="11"/>
    <n v="3.6"/>
    <n v="11456"/>
    <x v="0"/>
  </r>
  <r>
    <s v="B099PR2GQJ"/>
    <x v="875"/>
    <x v="4"/>
    <n v="649"/>
    <n v="999"/>
    <n v="35"/>
    <n v="3.8"/>
    <n v="49"/>
    <x v="0"/>
  </r>
  <r>
    <s v="B08G8H8DPL"/>
    <x v="876"/>
    <x v="4"/>
    <n v="3249"/>
    <n v="6375"/>
    <n v="49"/>
    <n v="4"/>
    <n v="4978"/>
    <x v="1"/>
  </r>
  <r>
    <s v="B08VGM3YMF"/>
    <x v="877"/>
    <x v="4"/>
    <n v="199"/>
    <n v="499"/>
    <n v="60"/>
    <n v="4.0999999999999996"/>
    <n v="1996"/>
    <x v="2"/>
  </r>
  <r>
    <s v="B08TTRVWKY"/>
    <x v="878"/>
    <x v="4"/>
    <n v="1099"/>
    <n v="1899"/>
    <n v="42"/>
    <n v="4.3"/>
    <n v="1811"/>
    <x v="0"/>
  </r>
  <r>
    <s v="B07T4D9FNY"/>
    <x v="879"/>
    <x v="4"/>
    <n v="664"/>
    <n v="1490"/>
    <n v="55"/>
    <n v="4"/>
    <n v="2198"/>
    <x v="0"/>
  </r>
  <r>
    <s v="B07RX42D3D"/>
    <x v="880"/>
    <x v="4"/>
    <n v="260"/>
    <n v="350"/>
    <n v="26"/>
    <n v="3.9"/>
    <n v="13127"/>
    <x v="2"/>
  </r>
  <r>
    <s v="B08WRKSF9D"/>
    <x v="881"/>
    <x v="4"/>
    <n v="6499"/>
    <n v="8500"/>
    <n v="24"/>
    <n v="4.4000000000000004"/>
    <n v="5865"/>
    <x v="1"/>
  </r>
  <r>
    <s v="B09R83SFYV"/>
    <x v="882"/>
    <x v="4"/>
    <n v="1484"/>
    <n v="2499"/>
    <n v="41"/>
    <n v="3.7"/>
    <n v="1067"/>
    <x v="1"/>
  </r>
  <r>
    <s v="B07989VV5K"/>
    <x v="883"/>
    <x v="4"/>
    <n v="999"/>
    <n v="1560"/>
    <n v="36"/>
    <n v="3.6"/>
    <n v="4881"/>
    <x v="0"/>
  </r>
  <r>
    <s v="B07FL3WRX5"/>
    <x v="884"/>
    <x v="4"/>
    <n v="3299"/>
    <n v="6500"/>
    <n v="49"/>
    <n v="3.7"/>
    <n v="11217"/>
    <x v="1"/>
  </r>
  <r>
    <s v="B0BPCJM7TB"/>
    <x v="885"/>
    <x v="4"/>
    <n v="259"/>
    <n v="999"/>
    <n v="74"/>
    <n v="4"/>
    <n v="43"/>
    <x v="0"/>
  </r>
  <r>
    <s v="B08H673XKN"/>
    <x v="886"/>
    <x v="4"/>
    <n v="3249"/>
    <n v="7795"/>
    <n v="58"/>
    <n v="4.2"/>
    <n v="4664"/>
    <x v="1"/>
  </r>
  <r>
    <s v="B07DXRGWDJ"/>
    <x v="887"/>
    <x v="4"/>
    <n v="4280"/>
    <n v="5995"/>
    <n v="29"/>
    <n v="3.8"/>
    <n v="2112"/>
    <x v="1"/>
  </r>
  <r>
    <s v="B08243SKCK"/>
    <x v="888"/>
    <x v="4"/>
    <n v="189"/>
    <n v="299"/>
    <n v="37"/>
    <n v="4.2"/>
    <n v="2737"/>
    <x v="2"/>
  </r>
  <r>
    <s v="B09SPTNG58"/>
    <x v="889"/>
    <x v="4"/>
    <n v="1449"/>
    <n v="2349"/>
    <n v="38"/>
    <n v="3.9"/>
    <n v="9019"/>
    <x v="1"/>
  </r>
  <r>
    <s v="B083J64CBB"/>
    <x v="890"/>
    <x v="4"/>
    <n v="199"/>
    <n v="499"/>
    <n v="60"/>
    <n v="4"/>
    <n v="10234"/>
    <x v="2"/>
  </r>
  <r>
    <s v="B08JV91JTK"/>
    <x v="891"/>
    <x v="4"/>
    <n v="474"/>
    <n v="1299"/>
    <n v="64"/>
    <n v="4.0999999999999996"/>
    <n v="550"/>
    <x v="0"/>
  </r>
  <r>
    <s v="B0BQ3K23Y1"/>
    <x v="892"/>
    <x v="4"/>
    <n v="279"/>
    <n v="499"/>
    <n v="44"/>
    <n v="4.8"/>
    <n v="28"/>
    <x v="2"/>
  </r>
  <r>
    <s v="B09MT94QLL"/>
    <x v="893"/>
    <x v="4"/>
    <n v="1999"/>
    <n v="4775"/>
    <n v="58"/>
    <n v="4.2"/>
    <n v="1353"/>
    <x v="1"/>
  </r>
  <r>
    <s v="B07NKNBTT3"/>
    <x v="894"/>
    <x v="4"/>
    <n v="799"/>
    <n v="1230"/>
    <n v="35"/>
    <n v="4.0999999999999996"/>
    <n v="2138"/>
    <x v="0"/>
  </r>
  <r>
    <s v="B09KPXTZXN"/>
    <x v="895"/>
    <x v="4"/>
    <n v="949"/>
    <n v="1999"/>
    <n v="53"/>
    <n v="4"/>
    <n v="1679"/>
    <x v="0"/>
  </r>
  <r>
    <s v="B078HG2ZPS"/>
    <x v="896"/>
    <x v="4"/>
    <n v="365766"/>
    <n v="5156"/>
    <n v="29"/>
    <n v="3.9"/>
    <n v="12837"/>
    <x v="1"/>
  </r>
  <r>
    <s v="B07N2MGB3G"/>
    <x v="897"/>
    <x v="4"/>
    <n v="1699"/>
    <n v="1999"/>
    <n v="15"/>
    <n v="4.0999999999999996"/>
    <n v="8873"/>
    <x v="0"/>
  </r>
  <r>
    <s v="B008LN8KDM"/>
    <x v="898"/>
    <x v="4"/>
    <n v="1849"/>
    <n v="2095"/>
    <n v="12"/>
    <n v="4.3"/>
    <n v="7681"/>
    <x v="1"/>
  </r>
  <r>
    <s v="B08MZNT7GP"/>
    <x v="899"/>
    <x v="4"/>
    <n v="12499"/>
    <n v="19825"/>
    <n v="37"/>
    <n v="4.0999999999999996"/>
    <n v="322"/>
    <x v="1"/>
  </r>
  <r>
    <s v="B009P2L7CO"/>
    <x v="900"/>
    <x v="4"/>
    <n v="1099"/>
    <n v="1920"/>
    <n v="43"/>
    <n v="4.2"/>
    <n v="9772"/>
    <x v="0"/>
  </r>
  <r>
    <s v="B07YC8JHMB"/>
    <x v="901"/>
    <x v="4"/>
    <n v="8199"/>
    <n v="16000"/>
    <n v="49"/>
    <n v="3.9"/>
    <n v="18497"/>
    <x v="1"/>
  </r>
  <r>
    <s v="B0BNQMF152"/>
    <x v="902"/>
    <x v="4"/>
    <n v="499"/>
    <n v="2199"/>
    <n v="77"/>
    <n v="3.7"/>
    <n v="53"/>
    <x v="1"/>
  </r>
  <r>
    <s v="B08J7VCT12"/>
    <x v="903"/>
    <x v="4"/>
    <n v="6999"/>
    <n v="14999"/>
    <n v="53"/>
    <n v="4.0999999999999996"/>
    <n v="1728"/>
    <x v="1"/>
  </r>
  <r>
    <s v="B0989W6J2F"/>
    <x v="904"/>
    <x v="4"/>
    <n v="1595"/>
    <n v="1799"/>
    <n v="11"/>
    <n v="4"/>
    <n v="2877"/>
    <x v="0"/>
  </r>
  <r>
    <s v="B0B84KSH3X"/>
    <x v="905"/>
    <x v="4"/>
    <n v="1049"/>
    <n v="1950"/>
    <n v="46"/>
    <n v="3.8"/>
    <n v="250"/>
    <x v="0"/>
  </r>
  <r>
    <s v="B08HLC7Z3G"/>
    <x v="906"/>
    <x v="4"/>
    <n v="1182"/>
    <n v="2995"/>
    <n v="61"/>
    <n v="4.2"/>
    <n v="5178"/>
    <x v="1"/>
  </r>
  <r>
    <s v="B0BN6M3TCM"/>
    <x v="907"/>
    <x v="4"/>
    <n v="499"/>
    <n v="999"/>
    <n v="50"/>
    <n v="4.5999999999999996"/>
    <n v="79"/>
    <x v="0"/>
  </r>
  <r>
    <s v="B01L6MT7E0"/>
    <x v="908"/>
    <x v="4"/>
    <n v="8799"/>
    <n v="11995"/>
    <n v="27"/>
    <n v="4.0999999999999996"/>
    <n v="4157"/>
    <x v="1"/>
  </r>
  <r>
    <s v="B0B9F9PT8R"/>
    <x v="909"/>
    <x v="4"/>
    <n v="1529"/>
    <n v="2999"/>
    <n v="49"/>
    <n v="3.3"/>
    <n v="29"/>
    <x v="1"/>
  </r>
  <r>
    <s v="B0883LQJ6B"/>
    <x v="910"/>
    <x v="4"/>
    <n v="1199"/>
    <n v="1690"/>
    <n v="29"/>
    <n v="4.2"/>
    <n v="4580"/>
    <x v="0"/>
  </r>
  <r>
    <s v="B099Z83VRC"/>
    <x v="911"/>
    <x v="4"/>
    <n v="1052"/>
    <n v="1790"/>
    <n v="41"/>
    <n v="4.3"/>
    <n v="1404"/>
    <x v="0"/>
  </r>
  <r>
    <s v="B00S9BSJC8"/>
    <x v="912"/>
    <x v="4"/>
    <n v="6499"/>
    <n v="8995"/>
    <n v="28"/>
    <n v="4.3"/>
    <n v="2810"/>
    <x v="1"/>
  </r>
  <r>
    <s v="B0B4SJKRDF"/>
    <x v="913"/>
    <x v="4"/>
    <n v="239"/>
    <n v="239"/>
    <n v="0"/>
    <n v="4.3"/>
    <n v="7"/>
    <x v="2"/>
  </r>
  <r>
    <s v="B0BM4KTNL1"/>
    <x v="914"/>
    <x v="4"/>
    <n v="699"/>
    <n v="1599"/>
    <n v="56"/>
    <n v="4.7"/>
    <n v="1729"/>
    <x v="0"/>
  </r>
  <r>
    <s v="B08S6RKT4L"/>
    <x v="915"/>
    <x v="4"/>
    <n v="2599"/>
    <n v="4290"/>
    <n v="39"/>
    <n v="4.4000000000000004"/>
    <n v="2116"/>
    <x v="1"/>
  </r>
  <r>
    <s v="B09SZ5TWHW"/>
    <x v="916"/>
    <x v="4"/>
    <n v="1547"/>
    <n v="2890"/>
    <n v="46"/>
    <n v="3.9"/>
    <n v="463"/>
    <x v="1"/>
  </r>
  <r>
    <s v="B0BLC2BYPX"/>
    <x v="917"/>
    <x v="4"/>
    <n v="499"/>
    <n v="1299"/>
    <n v="62"/>
    <n v="4.7"/>
    <n v="54"/>
    <x v="0"/>
  </r>
  <r>
    <s v="B00P0R95EA"/>
    <x v="918"/>
    <x v="4"/>
    <n v="510"/>
    <n v="640"/>
    <n v="20"/>
    <n v="4.0999999999999996"/>
    <n v="7229"/>
    <x v="0"/>
  </r>
  <r>
    <s v="B07W4HTS8Q"/>
    <x v="919"/>
    <x v="4"/>
    <n v="1899"/>
    <n v="3790"/>
    <n v="50"/>
    <n v="3.8"/>
    <n v="3842"/>
    <x v="1"/>
  </r>
  <r>
    <s v="B078JBK4GX"/>
    <x v="920"/>
    <x v="4"/>
    <n v="2599"/>
    <n v="4560"/>
    <n v="43"/>
    <n v="4.4000000000000004"/>
    <n v="646"/>
    <x v="1"/>
  </r>
  <r>
    <s v="B08S7V8YTN"/>
    <x v="921"/>
    <x v="4"/>
    <n v="1199"/>
    <n v="3500"/>
    <n v="66"/>
    <n v="4.3"/>
    <n v="1802"/>
    <x v="1"/>
  </r>
  <r>
    <s v="B07H5PBN54"/>
    <x v="922"/>
    <x v="4"/>
    <n v="999"/>
    <n v="2600"/>
    <n v="62"/>
    <n v="3.4"/>
    <n v="252"/>
    <x v="1"/>
  </r>
  <r>
    <s v="B07YCBSCYB"/>
    <x v="923"/>
    <x v="4"/>
    <n v="1999"/>
    <n v="3300"/>
    <n v="39"/>
    <n v="4.2"/>
    <n v="780"/>
    <x v="1"/>
  </r>
  <r>
    <s v="B098T9CJVQ"/>
    <x v="924"/>
    <x v="4"/>
    <n v="210"/>
    <n v="699"/>
    <n v="70"/>
    <n v="3.7"/>
    <n v="74"/>
    <x v="0"/>
  </r>
  <r>
    <s v="B01KCSGBU2"/>
    <x v="925"/>
    <x v="4"/>
    <n v="14499"/>
    <n v="23559"/>
    <n v="38"/>
    <n v="4.3"/>
    <n v="2026"/>
    <x v="1"/>
  </r>
  <r>
    <s v="B095XCRDQW"/>
    <x v="926"/>
    <x v="4"/>
    <n v="950"/>
    <n v="1599"/>
    <n v="41"/>
    <n v="4.3"/>
    <n v="5911"/>
    <x v="0"/>
  </r>
  <r>
    <s v="B09CTWFV5W"/>
    <x v="927"/>
    <x v="4"/>
    <n v="7199"/>
    <n v="9995"/>
    <n v="28"/>
    <n v="4.4000000000000004"/>
    <n v="1964"/>
    <x v="1"/>
  </r>
  <r>
    <s v="B0B7NWGXS6"/>
    <x v="928"/>
    <x v="4"/>
    <n v="2439"/>
    <n v="2545"/>
    <n v="4"/>
    <n v="4.0999999999999996"/>
    <n v="25"/>
    <x v="1"/>
  </r>
  <r>
    <s v="B07DZ986Q2"/>
    <x v="929"/>
    <x v="4"/>
    <n v="7799"/>
    <n v="8995"/>
    <n v="13"/>
    <n v="4"/>
    <n v="3160"/>
    <x v="1"/>
  </r>
  <r>
    <s v="B07KKJPTWB"/>
    <x v="930"/>
    <x v="4"/>
    <n v="1599"/>
    <n v="1999"/>
    <n v="20"/>
    <n v="4.4000000000000004"/>
    <n v="1558"/>
    <x v="0"/>
  </r>
  <r>
    <s v="B086X18Q71"/>
    <x v="931"/>
    <x v="4"/>
    <n v="9799"/>
    <n v="12150"/>
    <n v="19"/>
    <n v="4.3"/>
    <n v="13251"/>
    <x v="1"/>
  </r>
  <r>
    <s v="B07WVQG8WZ"/>
    <x v="932"/>
    <x v="4"/>
    <n v="3299"/>
    <n v="4995"/>
    <n v="34"/>
    <n v="3.8"/>
    <n v="1393"/>
    <x v="1"/>
  </r>
  <r>
    <s v="B0BFBNXS94"/>
    <x v="933"/>
    <x v="4"/>
    <n v="669"/>
    <n v="1499"/>
    <n v="55"/>
    <n v="2.2999999999999998"/>
    <n v="13"/>
    <x v="0"/>
  </r>
  <r>
    <s v="B071113J7M"/>
    <x v="934"/>
    <x v="4"/>
    <n v="5890"/>
    <n v="7506"/>
    <n v="22"/>
    <n v="4.5"/>
    <n v="7241"/>
    <x v="1"/>
  </r>
  <r>
    <s v="B09YLWT89W"/>
    <x v="935"/>
    <x v="4"/>
    <n v="9199"/>
    <n v="18000"/>
    <n v="49"/>
    <n v="4"/>
    <n v="16020"/>
    <x v="1"/>
  </r>
  <r>
    <s v="B0814LP6S9"/>
    <x v="936"/>
    <x v="4"/>
    <n v="351"/>
    <n v="1099"/>
    <n v="68"/>
    <n v="3.7"/>
    <n v="1470"/>
    <x v="0"/>
  </r>
  <r>
    <s v="B07BKSSDR2"/>
    <x v="937"/>
    <x v="8"/>
    <n v="899"/>
    <n v="1900"/>
    <n v="53"/>
    <n v="4"/>
    <n v="3663"/>
    <x v="0"/>
  </r>
  <r>
    <s v="B09VGS66FV"/>
    <x v="938"/>
    <x v="4"/>
    <n v="1349"/>
    <n v="1850"/>
    <n v="27"/>
    <n v="4.4000000000000004"/>
    <n v="638"/>
    <x v="0"/>
  </r>
  <r>
    <s v="B07RCGTZ4M"/>
    <x v="939"/>
    <x v="4"/>
    <n v="6236"/>
    <n v="9999"/>
    <n v="38"/>
    <n v="4.0999999999999996"/>
    <n v="3552"/>
    <x v="1"/>
  </r>
  <r>
    <s v="B0747VDH9L"/>
    <x v="940"/>
    <x v="4"/>
    <n v="2742"/>
    <n v="3995"/>
    <n v="31"/>
    <n v="4.4000000000000004"/>
    <n v="11148"/>
    <x v="1"/>
  </r>
  <r>
    <s v="B08XLR6DSB"/>
    <x v="941"/>
    <x v="4"/>
    <n v="721"/>
    <n v="1499"/>
    <n v="52"/>
    <n v="3.1"/>
    <n v="2449"/>
    <x v="0"/>
  </r>
  <r>
    <s v="B07CVR2L5K"/>
    <x v="942"/>
    <x v="4"/>
    <n v="1656"/>
    <n v="2695"/>
    <n v="39"/>
    <n v="4.4000000000000004"/>
    <n v="6027"/>
    <x v="1"/>
  </r>
  <r>
    <s v="B09J4YQYX3"/>
    <x v="943"/>
    <x v="4"/>
    <n v="1399"/>
    <n v="2290"/>
    <n v="39"/>
    <n v="4.4000000000000004"/>
    <n v="461"/>
    <x v="1"/>
  </r>
  <r>
    <s v="B0B2DD8BQ8"/>
    <x v="944"/>
    <x v="4"/>
    <n v="2079"/>
    <n v="3099"/>
    <n v="33"/>
    <n v="4.0999999999999996"/>
    <n v="282"/>
    <x v="1"/>
  </r>
  <r>
    <s v="B0123P3PWE"/>
    <x v="945"/>
    <x v="4"/>
    <n v="999"/>
    <n v="1075"/>
    <n v="7"/>
    <n v="4.0999999999999996"/>
    <n v="9275"/>
    <x v="0"/>
  </r>
  <r>
    <s v="B08HDCWDXD"/>
    <x v="946"/>
    <x v="4"/>
    <n v="3179"/>
    <n v="6999"/>
    <n v="55"/>
    <n v="4"/>
    <n v="743"/>
    <x v="1"/>
  </r>
  <r>
    <s v="B0BCKJJN8R"/>
    <x v="947"/>
    <x v="4"/>
    <n v="3599"/>
    <n v="7290"/>
    <n v="51"/>
    <n v="3.9"/>
    <n v="942"/>
    <x v="1"/>
  </r>
  <r>
    <s v="B008P7IF02"/>
    <x v="948"/>
    <x v="4"/>
    <n v="4799"/>
    <n v="5795"/>
    <n v="17"/>
    <n v="3.9"/>
    <n v="3815"/>
    <x v="1"/>
  </r>
  <r>
    <s v="B08CNLYKW5"/>
    <x v="949"/>
    <x v="4"/>
    <n v="1699"/>
    <n v="3398"/>
    <n v="50"/>
    <n v="3.8"/>
    <n v="7988"/>
    <x v="1"/>
  </r>
  <r>
    <s v="B08C7TYHPB"/>
    <x v="950"/>
    <x v="4"/>
    <n v="664"/>
    <n v="1490"/>
    <n v="55"/>
    <n v="4.0999999999999996"/>
    <n v="925"/>
    <x v="0"/>
  </r>
  <r>
    <s v="B08VJFYH6N"/>
    <x v="951"/>
    <x v="4"/>
    <n v="948"/>
    <n v="1620"/>
    <n v="41"/>
    <n v="4.0999999999999996"/>
    <n v="4370"/>
    <x v="0"/>
  </r>
  <r>
    <s v="B08235JZFB"/>
    <x v="952"/>
    <x v="4"/>
    <n v="850"/>
    <n v="1000"/>
    <n v="15"/>
    <n v="4.0999999999999996"/>
    <n v="7619"/>
    <x v="0"/>
  </r>
  <r>
    <s v="B078XFKBZL"/>
    <x v="953"/>
    <x v="4"/>
    <n v="600"/>
    <n v="640"/>
    <n v="6"/>
    <n v="3.8"/>
    <n v="2593"/>
    <x v="0"/>
  </r>
  <r>
    <s v="B01M265AAK"/>
    <x v="954"/>
    <x v="4"/>
    <n v="3711"/>
    <n v="4495"/>
    <n v="17"/>
    <n v="4.3"/>
    <n v="356"/>
    <x v="1"/>
  </r>
  <r>
    <s v="B0B694PXQJ"/>
    <x v="955"/>
    <x v="4"/>
    <n v="799"/>
    <n v="2999"/>
    <n v="73"/>
    <n v="4.5"/>
    <n v="63"/>
    <x v="1"/>
  </r>
  <r>
    <s v="B00B3VFJY2"/>
    <x v="956"/>
    <x v="4"/>
    <n v="980"/>
    <n v="980"/>
    <n v="0"/>
    <n v="4.2"/>
    <n v="4740"/>
    <x v="0"/>
  </r>
  <r>
    <s v="B08W9BK4MD"/>
    <x v="957"/>
    <x v="4"/>
    <n v="351"/>
    <n v="899"/>
    <n v="61"/>
    <n v="3.9"/>
    <n v="296"/>
    <x v="0"/>
  </r>
  <r>
    <s v="B09X5HD5T1"/>
    <x v="958"/>
    <x v="4"/>
    <n v="229"/>
    <n v="499"/>
    <n v="54"/>
    <n v="3.5"/>
    <n v="185"/>
    <x v="2"/>
  </r>
  <r>
    <s v="B08H6B3G96"/>
    <x v="959"/>
    <x v="4"/>
    <n v="3349"/>
    <n v="3995"/>
    <n v="16"/>
    <n v="4.3"/>
    <n v="1954"/>
    <x v="1"/>
  </r>
  <r>
    <s v="B09N3BFP4M"/>
    <x v="960"/>
    <x v="4"/>
    <n v="5499"/>
    <n v="11500"/>
    <n v="52"/>
    <n v="3.9"/>
    <n v="959"/>
    <x v="1"/>
  </r>
  <r>
    <s v="B09DSQXCM8"/>
    <x v="961"/>
    <x v="4"/>
    <n v="299"/>
    <n v="499"/>
    <n v="40"/>
    <n v="3.9"/>
    <n v="1015"/>
    <x v="2"/>
  </r>
  <r>
    <s v="B01M69WCZ6"/>
    <x v="962"/>
    <x v="4"/>
    <n v="2249"/>
    <n v="3550"/>
    <n v="37"/>
    <n v="4"/>
    <n v="3973"/>
    <x v="1"/>
  </r>
  <r>
    <s v="B0BM9H2NY9"/>
    <x v="963"/>
    <x v="4"/>
    <n v="699"/>
    <n v="1599"/>
    <n v="56"/>
    <n v="4.7"/>
    <n v="2300"/>
    <x v="0"/>
  </r>
  <r>
    <s v="B099FDW2ZF"/>
    <x v="964"/>
    <x v="4"/>
    <n v="1235"/>
    <n v="1499"/>
    <n v="18"/>
    <n v="4.0999999999999996"/>
    <n v="203"/>
    <x v="0"/>
  </r>
  <r>
    <s v="B0B935YNR7"/>
    <x v="965"/>
    <x v="4"/>
    <n v="1349"/>
    <n v="2999"/>
    <n v="55"/>
    <n v="3.8"/>
    <n v="441"/>
    <x v="1"/>
  </r>
  <r>
    <s v="B07JGCGNDG"/>
    <x v="966"/>
    <x v="4"/>
    <n v="6800"/>
    <n v="11500"/>
    <n v="41"/>
    <n v="4.0999999999999996"/>
    <n v="10308"/>
    <x v="1"/>
  </r>
  <r>
    <s v="B08L12N5H1"/>
    <x v="967"/>
    <x v="4"/>
    <n v="2099"/>
    <n v="2499"/>
    <n v="16"/>
    <m/>
    <n v="992"/>
    <x v="1"/>
  </r>
  <r>
    <s v="B07GWTWFS2"/>
    <x v="968"/>
    <x v="4"/>
    <n v="1699"/>
    <n v="1975"/>
    <n v="14"/>
    <n v="4.0999999999999996"/>
    <n v="4716"/>
    <x v="0"/>
  </r>
  <r>
    <s v="B09KRHXTLN"/>
    <x v="969"/>
    <x v="4"/>
    <n v="1069"/>
    <n v="1699"/>
    <n v="37"/>
    <n v="3.9"/>
    <n v="313"/>
    <x v="0"/>
  </r>
  <r>
    <s v="B09H34V36W"/>
    <x v="970"/>
    <x v="4"/>
    <n v="1349"/>
    <n v="2495"/>
    <n v="46"/>
    <n v="3.8"/>
    <n v="166"/>
    <x v="1"/>
  </r>
  <r>
    <s v="B09J2QCKKM"/>
    <x v="971"/>
    <x v="4"/>
    <n v="1499"/>
    <n v="3500"/>
    <n v="57"/>
    <n v="4.0999999999999996"/>
    <n v="303"/>
    <x v="1"/>
  </r>
  <r>
    <s v="B09XRBJ94N"/>
    <x v="972"/>
    <x v="4"/>
    <n v="2092"/>
    <n v="4600"/>
    <n v="55"/>
    <n v="4.3"/>
    <n v="562"/>
    <x v="1"/>
  </r>
  <r>
    <s v="B07SLNG3LW"/>
    <x v="973"/>
    <x v="4"/>
    <n v="3859"/>
    <n v="10295"/>
    <n v="63"/>
    <n v="3.9"/>
    <n v="8095"/>
    <x v="1"/>
  </r>
  <r>
    <s v="B0BNDGL26T"/>
    <x v="974"/>
    <x v="4"/>
    <n v="499"/>
    <n v="2199"/>
    <n v="77"/>
    <n v="2.8"/>
    <n v="109"/>
    <x v="1"/>
  </r>
  <r>
    <s v="B095PWLLY6"/>
    <x v="975"/>
    <x v="4"/>
    <n v="1804"/>
    <n v="2380"/>
    <n v="24"/>
    <n v="4"/>
    <n v="15382"/>
    <x v="1"/>
  </r>
  <r>
    <s v="B0BJ966M5K"/>
    <x v="976"/>
    <x v="4"/>
    <n v="4999"/>
    <n v="24999"/>
    <n v="80"/>
    <n v="4.5999999999999996"/>
    <n v="124"/>
    <x v="1"/>
  </r>
  <r>
    <s v="B086GVRP63"/>
    <x v="977"/>
    <x v="4"/>
    <n v="1189"/>
    <n v="2400"/>
    <n v="50"/>
    <n v="4.0999999999999996"/>
    <n v="618"/>
    <x v="1"/>
  </r>
  <r>
    <s v="B08MVXPTDG"/>
    <x v="978"/>
    <x v="4"/>
    <n v="2590"/>
    <n v="4200"/>
    <n v="38"/>
    <n v="4.0999999999999996"/>
    <n v="63"/>
    <x v="1"/>
  </r>
  <r>
    <s v="B0BMZ6SY89"/>
    <x v="979"/>
    <x v="4"/>
    <n v="899"/>
    <n v="1599"/>
    <n v="44"/>
    <n v="3.4"/>
    <n v="15"/>
    <x v="0"/>
  </r>
  <r>
    <s v="B09P1MFKG1"/>
    <x v="980"/>
    <x v="4"/>
    <n v="998"/>
    <n v="2999"/>
    <n v="67"/>
    <n v="4.5999999999999996"/>
    <n v="9"/>
    <x v="1"/>
  </r>
  <r>
    <s v="B01LY9W8AF"/>
    <x v="981"/>
    <x v="4"/>
    <n v="99806"/>
    <n v="1282"/>
    <n v="22"/>
    <n v="4.2"/>
    <n v="7274"/>
    <x v="0"/>
  </r>
  <r>
    <s v="B07ZJND9B9"/>
    <x v="982"/>
    <x v="4"/>
    <n v="1099"/>
    <n v="1990"/>
    <n v="45"/>
    <n v="3.9"/>
    <n v="5911"/>
    <x v="0"/>
  </r>
  <r>
    <s v="B0B2CWRDB1"/>
    <x v="983"/>
    <x v="4"/>
    <n v="5999"/>
    <n v="9999"/>
    <n v="40"/>
    <n v="4.2"/>
    <n v="170"/>
    <x v="1"/>
  </r>
  <r>
    <s v="B072NCN9M4"/>
    <x v="984"/>
    <x v="4"/>
    <n v="8886"/>
    <n v="11850"/>
    <n v="25"/>
    <n v="4.2"/>
    <n v="3065"/>
    <x v="1"/>
  </r>
  <r>
    <s v="B08SKZ2RMG"/>
    <x v="985"/>
    <x v="4"/>
    <n v="475"/>
    <n v="999"/>
    <n v="52"/>
    <n v="4.0999999999999996"/>
    <n v="1021"/>
    <x v="0"/>
  </r>
  <r>
    <s v="B0B53DS4TF"/>
    <x v="986"/>
    <x v="4"/>
    <n v="4995"/>
    <n v="20049"/>
    <n v="75"/>
    <n v="4.8"/>
    <n v="3964"/>
    <x v="1"/>
  </r>
  <r>
    <s v="B08BJN4MP3"/>
    <x v="987"/>
    <x v="4"/>
    <n v="13999"/>
    <n v="24850"/>
    <n v="44"/>
    <n v="4.4000000000000004"/>
    <n v="8948"/>
    <x v="1"/>
  </r>
  <r>
    <s v="B0BCYQY9X5"/>
    <x v="988"/>
    <x v="4"/>
    <n v="8499"/>
    <n v="16490"/>
    <n v="48"/>
    <n v="4.3"/>
    <n v="97"/>
    <x v="1"/>
  </r>
  <r>
    <s v="B009UORDX4"/>
    <x v="989"/>
    <x v="4"/>
    <n v="949"/>
    <n v="975"/>
    <n v="3"/>
    <n v="4.3"/>
    <n v="7223"/>
    <x v="0"/>
  </r>
  <r>
    <s v="B08VGDBF3B"/>
    <x v="990"/>
    <x v="4"/>
    <n v="395"/>
    <n v="499"/>
    <n v="21"/>
    <n v="4"/>
    <n v="330"/>
    <x v="2"/>
  </r>
  <r>
    <s v="B012ELCYUG"/>
    <x v="991"/>
    <x v="4"/>
    <n v="635"/>
    <n v="635"/>
    <n v="0"/>
    <n v="4.3"/>
    <n v="4570"/>
    <x v="0"/>
  </r>
  <r>
    <s v="B07S9M8YTY"/>
    <x v="992"/>
    <x v="4"/>
    <n v="717"/>
    <n v="1390"/>
    <n v="48"/>
    <n v="4"/>
    <n v="4867"/>
    <x v="0"/>
  </r>
  <r>
    <s v="B0B19VJXQZ"/>
    <x v="993"/>
    <x v="4"/>
    <n v="27900"/>
    <n v="59900"/>
    <n v="53"/>
    <n v="4.4000000000000004"/>
    <n v="5298"/>
    <x v="1"/>
  </r>
  <r>
    <s v="B00SMFPJG0"/>
    <x v="994"/>
    <x v="4"/>
    <n v="649"/>
    <n v="670"/>
    <n v="3"/>
    <n v="4.0999999999999996"/>
    <n v="7786"/>
    <x v="0"/>
  </r>
  <r>
    <s v="B0BHYLCL19"/>
    <x v="995"/>
    <x v="4"/>
    <n v="193"/>
    <n v="399"/>
    <n v="52"/>
    <n v="3.6"/>
    <n v="37"/>
    <x v="2"/>
  </r>
  <r>
    <s v="B0BPJBTB3F"/>
    <x v="996"/>
    <x v="4"/>
    <n v="1299"/>
    <n v="2495"/>
    <n v="48"/>
    <n v="2"/>
    <n v="2"/>
    <x v="1"/>
  </r>
  <r>
    <s v="B08MXJYB2V"/>
    <x v="997"/>
    <x v="4"/>
    <n v="2449"/>
    <n v="3390"/>
    <n v="28"/>
    <n v="4"/>
    <n v="5206"/>
    <x v="1"/>
  </r>
  <r>
    <s v="B081B1JL35"/>
    <x v="998"/>
    <x v="4"/>
    <n v="1049"/>
    <n v="2499"/>
    <n v="58"/>
    <n v="3.7"/>
    <n v="638"/>
    <x v="1"/>
  </r>
  <r>
    <s v="B09VL9KFDB"/>
    <x v="999"/>
    <x v="4"/>
    <n v="2399"/>
    <n v="4200"/>
    <n v="43"/>
    <n v="3.8"/>
    <n v="397"/>
    <x v="1"/>
  </r>
  <r>
    <s v="B0B1MDZV9C"/>
    <x v="1000"/>
    <x v="4"/>
    <n v="2286"/>
    <n v="4495"/>
    <n v="49"/>
    <n v="3.9"/>
    <n v="326"/>
    <x v="1"/>
  </r>
  <r>
    <s v="B08TT63N58"/>
    <x v="1001"/>
    <x v="4"/>
    <n v="499"/>
    <n v="2199"/>
    <n v="77"/>
    <n v="3.1"/>
    <n v="3527"/>
    <x v="1"/>
  </r>
  <r>
    <s v="B08YK7BBD2"/>
    <x v="1002"/>
    <x v="4"/>
    <n v="429"/>
    <n v="999"/>
    <n v="57"/>
    <n v="3"/>
    <n v="617"/>
    <x v="0"/>
  </r>
  <r>
    <s v="B07YQ5SN4H"/>
    <x v="1003"/>
    <x v="4"/>
    <n v="299"/>
    <n v="595"/>
    <n v="50"/>
    <n v="4"/>
    <n v="314"/>
    <x v="0"/>
  </r>
  <r>
    <s v="B0B7FJNSZR"/>
    <x v="1004"/>
    <x v="4"/>
    <n v="5395"/>
    <n v="19990"/>
    <n v="73"/>
    <n v="4.4000000000000004"/>
    <n v="535"/>
    <x v="1"/>
  </r>
  <r>
    <s v="B01N6IJG0F"/>
    <x v="1005"/>
    <x v="4"/>
    <n v="559"/>
    <n v="1010"/>
    <n v="45"/>
    <n v="4.0999999999999996"/>
    <n v="17325"/>
    <x v="0"/>
  </r>
  <r>
    <s v="B0B84QN4CN"/>
    <x v="1006"/>
    <x v="4"/>
    <n v="660"/>
    <n v="1100"/>
    <n v="40"/>
    <n v="3.6"/>
    <n v="91"/>
    <x v="0"/>
  </r>
  <r>
    <s v="B0B8ZM9RVV"/>
    <x v="1007"/>
    <x v="4"/>
    <n v="419"/>
    <n v="999"/>
    <n v="58"/>
    <n v="4.4000000000000004"/>
    <n v="227"/>
    <x v="0"/>
  </r>
  <r>
    <s v="B01892MIPA"/>
    <x v="1008"/>
    <x v="4"/>
    <n v="7349"/>
    <n v="10900"/>
    <n v="33"/>
    <n v="4.2"/>
    <n v="11957"/>
    <x v="1"/>
  </r>
  <r>
    <s v="B08ZHYNTM1"/>
    <x v="1009"/>
    <x v="4"/>
    <n v="2899"/>
    <n v="4005"/>
    <n v="28"/>
    <n v="4.3"/>
    <n v="7140"/>
    <x v="1"/>
  </r>
  <r>
    <s v="B09SDDQQKP"/>
    <x v="1010"/>
    <x v="4"/>
    <n v="1799"/>
    <n v="3295"/>
    <n v="45"/>
    <n v="3.8"/>
    <n v="687"/>
    <x v="1"/>
  </r>
  <r>
    <s v="B0B5RP43VN"/>
    <x v="1011"/>
    <x v="4"/>
    <n v="1474"/>
    <n v="4650"/>
    <n v="68"/>
    <n v="4.0999999999999996"/>
    <n v="1045"/>
    <x v="1"/>
  </r>
  <r>
    <s v="B096NTB9XT"/>
    <x v="1012"/>
    <x v="4"/>
    <n v="15999"/>
    <n v="24500"/>
    <n v="35"/>
    <n v="4"/>
    <n v="11206"/>
    <x v="1"/>
  </r>
  <r>
    <s v="B078JF6X9B"/>
    <x v="1013"/>
    <x v="4"/>
    <n v="3645"/>
    <n v="6070"/>
    <n v="40"/>
    <n v="4.2"/>
    <n v="561"/>
    <x v="1"/>
  </r>
  <r>
    <s v="B08CGW4GYR"/>
    <x v="1014"/>
    <x v="4"/>
    <n v="375"/>
    <n v="999"/>
    <n v="62"/>
    <n v="3.6"/>
    <n v="1988"/>
    <x v="0"/>
  </r>
  <r>
    <s v="B00A328ENA"/>
    <x v="1015"/>
    <x v="4"/>
    <n v="2976"/>
    <n v="3945"/>
    <n v="25"/>
    <n v="4.2"/>
    <n v="3740"/>
    <x v="1"/>
  </r>
  <r>
    <s v="B0763K5HLQ"/>
    <x v="1016"/>
    <x v="4"/>
    <n v="1099"/>
    <n v="1499"/>
    <n v="27"/>
    <n v="4.0999999999999996"/>
    <n v="4401"/>
    <x v="0"/>
  </r>
  <r>
    <s v="B09PDZNSBG"/>
    <x v="1017"/>
    <x v="4"/>
    <n v="2575"/>
    <n v="6700"/>
    <n v="62"/>
    <n v="4.2"/>
    <n v="611"/>
    <x v="1"/>
  </r>
  <r>
    <s v="B085LPT5F4"/>
    <x v="1018"/>
    <x v="4"/>
    <n v="1649"/>
    <n v="2800"/>
    <n v="41"/>
    <n v="3.9"/>
    <n v="2162"/>
    <x v="1"/>
  </r>
  <r>
    <s v="B0B9RZ4G4W"/>
    <x v="1019"/>
    <x v="4"/>
    <n v="799"/>
    <n v="1699"/>
    <n v="53"/>
    <n v="4"/>
    <n v="97"/>
    <x v="0"/>
  </r>
  <r>
    <s v="B0085W2MUQ"/>
    <x v="1020"/>
    <x v="4"/>
    <n v="765"/>
    <n v="970"/>
    <n v="21"/>
    <n v="4.2"/>
    <n v="6055"/>
    <x v="0"/>
  </r>
  <r>
    <s v="B09474JWN6"/>
    <x v="1021"/>
    <x v="4"/>
    <n v="999"/>
    <n v="1500"/>
    <n v="33"/>
    <n v="4.2"/>
    <n v="386"/>
    <x v="0"/>
  </r>
  <r>
    <s v="B09G2VTHQM"/>
    <x v="1022"/>
    <x v="4"/>
    <n v="587"/>
    <n v="1295"/>
    <n v="55"/>
    <n v="4.0999999999999996"/>
    <n v="557"/>
    <x v="0"/>
  </r>
  <r>
    <s v="B07R679HTT"/>
    <x v="1023"/>
    <x v="4"/>
    <n v="12609"/>
    <n v="23999"/>
    <n v="47"/>
    <n v="4.4000000000000004"/>
    <n v="2288"/>
    <x v="1"/>
  </r>
  <r>
    <s v="B00B7GKXMG"/>
    <x v="1024"/>
    <x v="4"/>
    <n v="699"/>
    <n v="850"/>
    <n v="18"/>
    <n v="4.0999999999999996"/>
    <n v="1106"/>
    <x v="0"/>
  </r>
  <r>
    <s v="B07H3N8RJH"/>
    <x v="1025"/>
    <x v="4"/>
    <n v="3799"/>
    <n v="6000"/>
    <n v="37"/>
    <n v="4.2"/>
    <n v="11935"/>
    <x v="1"/>
  </r>
  <r>
    <s v="B07K2HVKLL"/>
    <x v="1026"/>
    <x v="4"/>
    <n v="640"/>
    <n v="1020"/>
    <n v="37"/>
    <n v="4.0999999999999996"/>
    <n v="5059"/>
    <x v="0"/>
  </r>
  <r>
    <s v="B09MQ9PDHR"/>
    <x v="1027"/>
    <x v="4"/>
    <n v="979"/>
    <n v="1999"/>
    <n v="51"/>
    <n v="3.9"/>
    <n v="157"/>
    <x v="0"/>
  </r>
  <r>
    <s v="B014HDJ7ZE"/>
    <x v="1028"/>
    <x v="4"/>
    <n v="5365"/>
    <n v="7445"/>
    <n v="28"/>
    <n v="3.9"/>
    <n v="3584"/>
    <x v="1"/>
  </r>
  <r>
    <s v="B07D2NMTTV"/>
    <x v="1029"/>
    <x v="4"/>
    <n v="3199"/>
    <n v="3500"/>
    <n v="9"/>
    <n v="4.2"/>
    <n v="1899"/>
    <x v="1"/>
  </r>
  <r>
    <s v="B075K76YW1"/>
    <x v="1030"/>
    <x v="4"/>
    <n v="979"/>
    <n v="1395"/>
    <n v="30"/>
    <n v="4.2"/>
    <n v="15252"/>
    <x v="0"/>
  </r>
  <r>
    <s v="B0BNLFQDG2"/>
    <x v="1031"/>
    <x v="4"/>
    <n v="929"/>
    <n v="2199"/>
    <n v="58"/>
    <n v="3.7"/>
    <n v="4"/>
    <x v="1"/>
  </r>
  <r>
    <s v="B082ZQ4479"/>
    <x v="1032"/>
    <x v="4"/>
    <n v="3710"/>
    <n v="4330"/>
    <n v="14"/>
    <n v="3.7"/>
    <n v="1662"/>
    <x v="1"/>
  </r>
  <r>
    <s v="B09Y358DZQ"/>
    <x v="1033"/>
    <x v="4"/>
    <n v="2033"/>
    <n v="4295"/>
    <n v="53"/>
    <n v="3.4"/>
    <n v="422"/>
    <x v="1"/>
  </r>
  <r>
    <s v="B09M3F4HGB"/>
    <x v="1034"/>
    <x v="4"/>
    <n v="9495"/>
    <n v="18990"/>
    <n v="50"/>
    <n v="4.2"/>
    <n v="79"/>
    <x v="1"/>
  </r>
  <r>
    <s v="B07VZH6ZBB"/>
    <x v="1035"/>
    <x v="4"/>
    <n v="7799"/>
    <n v="12500"/>
    <n v="38"/>
    <n v="4"/>
    <n v="5160"/>
    <x v="1"/>
  </r>
  <r>
    <s v="B07F366Z51"/>
    <x v="1036"/>
    <x v="4"/>
    <n v="949"/>
    <n v="2385"/>
    <n v="60"/>
    <n v="4.0999999999999996"/>
    <n v="2311"/>
    <x v="1"/>
  </r>
  <r>
    <s v="B077BTLQ67"/>
    <x v="1037"/>
    <x v="4"/>
    <n v="2790"/>
    <n v="4890"/>
    <n v="43"/>
    <n v="3.9"/>
    <n v="588"/>
    <x v="1"/>
  </r>
  <r>
    <s v="B07YSJ7FF1"/>
    <x v="1038"/>
    <x v="4"/>
    <n v="645"/>
    <n v="1100"/>
    <n v="41"/>
    <n v="4"/>
    <n v="3271"/>
    <x v="0"/>
  </r>
  <r>
    <s v="B07TXCY3YK"/>
    <x v="1039"/>
    <x v="4"/>
    <n v="223781"/>
    <n v="3899"/>
    <n v="43"/>
    <n v="3.9"/>
    <n v="11004"/>
    <x v="1"/>
  </r>
  <r>
    <s v="B07TC9F7PN"/>
    <x v="1040"/>
    <x v="4"/>
    <n v="8699"/>
    <n v="16899"/>
    <n v="49"/>
    <n v="4.2"/>
    <n v="3195"/>
    <x v="1"/>
  </r>
  <r>
    <s v="B09NS5TKPN"/>
    <x v="1041"/>
    <x v="4"/>
    <n v="42990"/>
    <n v="75990"/>
    <n v="43"/>
    <n v="4.3"/>
    <n v="3231"/>
    <x v="1"/>
  </r>
  <r>
    <s v="B00LP9RFSU"/>
    <x v="1042"/>
    <x v="4"/>
    <n v="825"/>
    <n v="825"/>
    <n v="0"/>
    <n v="4"/>
    <n v="3246"/>
    <x v="0"/>
  </r>
  <r>
    <s v="B0B7L86YCB"/>
    <x v="1043"/>
    <x v="4"/>
    <n v="161"/>
    <n v="300"/>
    <n v="46"/>
    <n v="2.6"/>
    <n v="24"/>
    <x v="2"/>
  </r>
  <r>
    <s v="B09VPH38JS"/>
    <x v="1044"/>
    <x v="4"/>
    <n v="697"/>
    <n v="1499"/>
    <n v="54"/>
    <n v="3.8"/>
    <n v="144"/>
    <x v="0"/>
  </r>
  <r>
    <s v="B01MUAUOCX"/>
    <x v="1045"/>
    <x v="4"/>
    <n v="688"/>
    <n v="747"/>
    <n v="8"/>
    <n v="4.5"/>
    <n v="2280"/>
    <x v="0"/>
  </r>
  <r>
    <s v="B09MB3DKG1"/>
    <x v="1046"/>
    <x v="4"/>
    <n v="2199"/>
    <n v="3999"/>
    <n v="45"/>
    <n v="3.5"/>
    <n v="340"/>
    <x v="1"/>
  </r>
  <r>
    <s v="B08QHLXWV3"/>
    <x v="1047"/>
    <x v="4"/>
    <n v="6850"/>
    <n v="11990"/>
    <n v="43"/>
    <n v="3.9"/>
    <n v="144"/>
    <x v="1"/>
  </r>
  <r>
    <s v="B07G147SZD"/>
    <x v="1048"/>
    <x v="4"/>
    <n v="2699"/>
    <n v="3799"/>
    <n v="29"/>
    <n v="4"/>
    <n v="727"/>
    <x v="1"/>
  </r>
  <r>
    <s v="B09LH32678"/>
    <x v="1049"/>
    <x v="4"/>
    <n v="899"/>
    <n v="1999"/>
    <n v="55"/>
    <n v="4"/>
    <n v="832"/>
    <x v="0"/>
  </r>
  <r>
    <s v="B09R1YFL6S"/>
    <x v="1050"/>
    <x v="4"/>
    <n v="1090"/>
    <n v="2999"/>
    <n v="64"/>
    <n v="3.5"/>
    <n v="57"/>
    <x v="1"/>
  </r>
  <r>
    <s v="B07Q4NJQC5"/>
    <x v="1051"/>
    <x v="4"/>
    <n v="295"/>
    <n v="599"/>
    <n v="51"/>
    <n v="4"/>
    <n v="1644"/>
    <x v="0"/>
  </r>
  <r>
    <s v="B097RN7BBK"/>
    <x v="1052"/>
    <x v="4"/>
    <n v="479"/>
    <n v="1999"/>
    <n v="76"/>
    <n v="3.4"/>
    <n v="1066"/>
    <x v="0"/>
  </r>
  <r>
    <s v="B097MKZHNV"/>
    <x v="1053"/>
    <x v="4"/>
    <n v="2949"/>
    <n v="4849"/>
    <n v="39"/>
    <n v="4.2"/>
    <n v="7968"/>
    <x v="1"/>
  </r>
  <r>
    <s v="B07LG96SDB"/>
    <x v="1054"/>
    <x v="4"/>
    <n v="335"/>
    <n v="510"/>
    <n v="34"/>
    <n v="3.8"/>
    <n v="3195"/>
    <x v="0"/>
  </r>
  <r>
    <s v="B08KS2KQTK"/>
    <x v="1055"/>
    <x v="4"/>
    <n v="293"/>
    <n v="499"/>
    <n v="41"/>
    <n v="4.0999999999999996"/>
    <n v="1456"/>
    <x v="2"/>
  </r>
  <r>
    <s v="B095K14P86"/>
    <x v="1056"/>
    <x v="4"/>
    <n v="599"/>
    <n v="1299"/>
    <n v="54"/>
    <n v="4.2"/>
    <n v="590"/>
    <x v="0"/>
  </r>
  <r>
    <s v="B08K36NZSV"/>
    <x v="1057"/>
    <x v="4"/>
    <n v="499"/>
    <n v="999"/>
    <n v="50"/>
    <n v="4.3"/>
    <n v="1436"/>
    <x v="0"/>
  </r>
  <r>
    <s v="B07LDPLSZC"/>
    <x v="1058"/>
    <x v="4"/>
    <n v="849"/>
    <n v="1190"/>
    <n v="29"/>
    <n v="4.2"/>
    <n v="4184"/>
    <x v="0"/>
  </r>
  <r>
    <s v="B07F1T31ZZ"/>
    <x v="1059"/>
    <x v="4"/>
    <n v="249"/>
    <n v="400"/>
    <n v="38"/>
    <n v="4.0999999999999996"/>
    <n v="693"/>
    <x v="2"/>
  </r>
  <r>
    <s v="B0BNDRK886"/>
    <x v="1060"/>
    <x v="4"/>
    <n v="185"/>
    <n v="599"/>
    <n v="69"/>
    <n v="3.9"/>
    <n v="1306"/>
    <x v="0"/>
  </r>
  <r>
    <s v="B09ZVJXN5L"/>
    <x v="1061"/>
    <x v="4"/>
    <n v="778"/>
    <n v="999"/>
    <n v="22"/>
    <n v="3.3"/>
    <n v="8"/>
    <x v="0"/>
  </r>
  <r>
    <s v="B08JKPVDKL"/>
    <x v="1062"/>
    <x v="4"/>
    <n v="279"/>
    <n v="699"/>
    <n v="60"/>
    <n v="4.3"/>
    <n v="2326"/>
    <x v="0"/>
  </r>
  <r>
    <s v="B09JFR8H3Q"/>
    <x v="1063"/>
    <x v="4"/>
    <n v="215"/>
    <n v="1499"/>
    <n v="86"/>
    <n v="3.9"/>
    <n v="1004"/>
    <x v="0"/>
  </r>
  <r>
    <s v="B07LDN9Q2P"/>
    <x v="1064"/>
    <x v="4"/>
    <n v="889"/>
    <n v="1295"/>
    <n v="31"/>
    <n v="4.3"/>
    <n v="6400"/>
    <x v="0"/>
  </r>
  <r>
    <s v="B08T8KWNQ9"/>
    <x v="1065"/>
    <x v="4"/>
    <n v="1449"/>
    <n v="4999"/>
    <n v="71"/>
    <n v="3.6"/>
    <n v="63"/>
    <x v="1"/>
  </r>
  <r>
    <s v="B07Y1RCCW5"/>
    <x v="1066"/>
    <x v="4"/>
    <n v="1190"/>
    <n v="2550"/>
    <n v="53"/>
    <n v="3.8"/>
    <n v="1181"/>
    <x v="1"/>
  </r>
  <r>
    <s v="B0762HXMTF"/>
    <x v="1067"/>
    <x v="4"/>
    <n v="1799"/>
    <n v="1950"/>
    <n v="8"/>
    <n v="3.9"/>
    <n v="1888"/>
    <x v="0"/>
  </r>
  <r>
    <s v="B00K57MR22"/>
    <x v="1068"/>
    <x v="4"/>
    <n v="6120"/>
    <n v="8478"/>
    <n v="28"/>
    <n v="4.5999999999999996"/>
    <n v="6550"/>
    <x v="1"/>
  </r>
  <r>
    <s v="B07TTSS5MP"/>
    <x v="1069"/>
    <x v="4"/>
    <n v="1799"/>
    <n v="3299"/>
    <n v="45"/>
    <n v="3.8"/>
    <n v="1846"/>
    <x v="1"/>
  </r>
  <r>
    <s v="B09ZDVL7L8"/>
    <x v="1070"/>
    <x v="4"/>
    <n v="2199"/>
    <n v="3895"/>
    <n v="44"/>
    <n v="3.9"/>
    <n v="1085"/>
    <x v="1"/>
  </r>
  <r>
    <s v="B09XHXXCFH"/>
    <x v="1071"/>
    <x v="4"/>
    <n v="3685"/>
    <n v="5495"/>
    <n v="33"/>
    <n v="4.0999999999999996"/>
    <n v="290"/>
    <x v="1"/>
  </r>
  <r>
    <s v="B0BL3R4RGS"/>
    <x v="1072"/>
    <x v="4"/>
    <n v="649"/>
    <n v="999"/>
    <n v="35"/>
    <n v="3.6"/>
    <n v="4"/>
    <x v="0"/>
  </r>
  <r>
    <s v="B07P1BR7L8"/>
    <x v="1073"/>
    <x v="4"/>
    <n v="8599"/>
    <n v="8995"/>
    <n v="4"/>
    <n v="4.4000000000000004"/>
    <n v="9734"/>
    <x v="1"/>
  </r>
  <r>
    <s v="B078WB1VWJ"/>
    <x v="1074"/>
    <x v="4"/>
    <n v="1110"/>
    <n v="1599"/>
    <n v="31"/>
    <n v="4.3"/>
    <n v="4022"/>
    <x v="0"/>
  </r>
  <r>
    <s v="B0BP89YBC1"/>
    <x v="1075"/>
    <x v="4"/>
    <n v="1499"/>
    <n v="3500"/>
    <n v="57"/>
    <n v="4.7"/>
    <n v="2591"/>
    <x v="1"/>
  </r>
  <r>
    <s v="B09W9V2PXG"/>
    <x v="1076"/>
    <x v="4"/>
    <n v="759"/>
    <n v="1999"/>
    <n v="62"/>
    <n v="4.3"/>
    <n v="532"/>
    <x v="0"/>
  </r>
  <r>
    <s v="B09XTQFFCG"/>
    <x v="1077"/>
    <x v="4"/>
    <n v="2669"/>
    <n v="3199"/>
    <n v="17"/>
    <n v="3.9"/>
    <n v="260"/>
    <x v="1"/>
  </r>
  <r>
    <s v="B08LVVTGZK"/>
    <x v="1078"/>
    <x v="4"/>
    <n v="929"/>
    <n v="1300"/>
    <n v="29"/>
    <n v="3.9"/>
    <n v="1672"/>
    <x v="0"/>
  </r>
  <r>
    <s v="B07J2BQZD6"/>
    <x v="1079"/>
    <x v="4"/>
    <n v="199"/>
    <n v="399"/>
    <n v="50"/>
    <n v="3.7"/>
    <n v="7945"/>
    <x v="2"/>
  </r>
  <r>
    <s v="B07HK53XM4"/>
    <x v="1080"/>
    <x v="4"/>
    <n v="279"/>
    <n v="599"/>
    <n v="53"/>
    <n v="3.5"/>
    <n v="1367"/>
    <x v="0"/>
  </r>
  <r>
    <s v="B08RDWBYCQ"/>
    <x v="1081"/>
    <x v="4"/>
    <n v="549"/>
    <n v="999"/>
    <n v="45"/>
    <n v="4"/>
    <n v="1313"/>
    <x v="0"/>
  </r>
  <r>
    <s v="B09FHHTL8L"/>
    <x v="1082"/>
    <x v="4"/>
    <n v="85"/>
    <n v="199"/>
    <n v="57"/>
    <n v="4.0999999999999996"/>
    <n v="212"/>
    <x v="2"/>
  </r>
  <r>
    <s v="B0BHNHMR3H"/>
    <x v="1083"/>
    <x v="4"/>
    <n v="499"/>
    <n v="1299"/>
    <n v="62"/>
    <n v="3.9"/>
    <n v="65"/>
    <x v="0"/>
  </r>
  <r>
    <s v="B07D8VBYB4"/>
    <x v="1084"/>
    <x v="4"/>
    <n v="5865"/>
    <n v="7776"/>
    <n v="25"/>
    <n v="4.4000000000000004"/>
    <n v="2737"/>
    <x v="1"/>
  </r>
  <r>
    <s v="B0B3TBY2YX"/>
    <x v="1085"/>
    <x v="4"/>
    <n v="1260"/>
    <n v="2299"/>
    <n v="45"/>
    <n v="4.3"/>
    <n v="55"/>
    <x v="1"/>
  </r>
  <r>
    <s v="B088WCFPQF"/>
    <x v="1086"/>
    <x v="4"/>
    <n v="1099"/>
    <n v="1500"/>
    <n v="27"/>
    <n v="4.5"/>
    <n v="1065"/>
    <x v="0"/>
  </r>
  <r>
    <s v="B07JZSG42Y"/>
    <x v="1087"/>
    <x v="4"/>
    <n v="1928"/>
    <n v="2590"/>
    <n v="26"/>
    <n v="4"/>
    <n v="2377"/>
    <x v="1"/>
  </r>
  <r>
    <s v="B08YRMBK9R"/>
    <x v="1088"/>
    <x v="4"/>
    <n v="3249"/>
    <n v="6299"/>
    <n v="48"/>
    <n v="3.9"/>
    <n v="2569"/>
    <x v="1"/>
  </r>
  <r>
    <s v="B00935MGHS"/>
    <x v="1089"/>
    <x v="4"/>
    <n v="1199"/>
    <n v="1795"/>
    <n v="33"/>
    <n v="4.2"/>
    <n v="5967"/>
    <x v="0"/>
  </r>
  <r>
    <s v="B07B5XJ572"/>
    <x v="1090"/>
    <x v="4"/>
    <n v="1456"/>
    <n v="3190"/>
    <n v="54"/>
    <n v="4.0999999999999996"/>
    <n v="1776"/>
    <x v="1"/>
  </r>
  <r>
    <s v="B086199CWG"/>
    <x v="1091"/>
    <x v="4"/>
    <n v="3349"/>
    <n v="4799"/>
    <n v="30"/>
    <n v="3.7"/>
    <n v="4200"/>
    <x v="1"/>
  </r>
  <r>
    <s v="B0BBWJFK5C"/>
    <x v="1092"/>
    <x v="4"/>
    <n v="4899"/>
    <n v="8999"/>
    <n v="46"/>
    <n v="4.0999999999999996"/>
    <n v="297"/>
    <x v="1"/>
  </r>
  <r>
    <s v="B07GLS2563"/>
    <x v="1093"/>
    <x v="4"/>
    <n v="1199"/>
    <n v="1899"/>
    <n v="37"/>
    <n v="4.2"/>
    <n v="3858"/>
    <x v="0"/>
  </r>
  <r>
    <s v="B09P182Z2H"/>
    <x v="1094"/>
    <x v="4"/>
    <n v="3290"/>
    <n v="5799"/>
    <n v="43"/>
    <n v="4.3"/>
    <n v="168"/>
    <x v="1"/>
  </r>
  <r>
    <s v="B0B59K1C8F"/>
    <x v="1095"/>
    <x v="4"/>
    <n v="179"/>
    <n v="799"/>
    <n v="78"/>
    <n v="3.6"/>
    <n v="101"/>
    <x v="0"/>
  </r>
  <r>
    <s v="B06Y36JKC3"/>
    <x v="1096"/>
    <x v="4"/>
    <n v="149"/>
    <n v="300"/>
    <n v="50"/>
    <n v="4.0999999999999996"/>
    <n v="4074"/>
    <x v="2"/>
  </r>
  <r>
    <s v="B075S9FVRY"/>
    <x v="1097"/>
    <x v="4"/>
    <n v="5490"/>
    <n v="7200"/>
    <n v="24"/>
    <n v="4.5"/>
    <n v="1408"/>
    <x v="1"/>
  </r>
  <r>
    <s v="B08SJVD8QD"/>
    <x v="1098"/>
    <x v="4"/>
    <n v="379"/>
    <n v="389"/>
    <n v="3"/>
    <n v="4.2"/>
    <n v="3739"/>
    <x v="2"/>
  </r>
  <r>
    <s v="B07FJNNZCJ"/>
    <x v="1099"/>
    <x v="4"/>
    <n v="8699"/>
    <n v="13049"/>
    <n v="33"/>
    <n v="4.3"/>
    <n v="5891"/>
    <x v="1"/>
  </r>
  <r>
    <s v="B09MFR93KS"/>
    <x v="1100"/>
    <x v="4"/>
    <n v="304167"/>
    <n v="5999"/>
    <n v="49"/>
    <n v="4"/>
    <n v="777"/>
    <x v="1"/>
  </r>
  <r>
    <s v="B07Y5FDPKV"/>
    <x v="1101"/>
    <x v="4"/>
    <n v="1745"/>
    <n v="2400"/>
    <n v="27"/>
    <n v="4.2"/>
    <n v="14160"/>
    <x v="1"/>
  </r>
  <r>
    <s v="B0756KCV5K"/>
    <x v="1102"/>
    <x v="4"/>
    <n v="3180"/>
    <n v="5295"/>
    <n v="40"/>
    <n v="4.2"/>
    <n v="6919"/>
    <x v="1"/>
  </r>
  <r>
    <s v="B0BJ6P3LSK"/>
    <x v="1103"/>
    <x v="4"/>
    <n v="4999"/>
    <n v="24999"/>
    <n v="80"/>
    <n v="4.5"/>
    <n v="287"/>
    <x v="1"/>
  </r>
  <r>
    <s v="B09HS1NDRQ"/>
    <x v="1104"/>
    <x v="4"/>
    <n v="390"/>
    <n v="799"/>
    <n v="51"/>
    <n v="3.8"/>
    <n v="287"/>
    <x v="0"/>
  </r>
  <r>
    <s v="B018SJJ0GE"/>
    <x v="1105"/>
    <x v="4"/>
    <n v="1999"/>
    <n v="2999"/>
    <n v="33"/>
    <n v="4.4000000000000004"/>
    <n v="388"/>
    <x v="1"/>
  </r>
  <r>
    <s v="B09FPP3R1D"/>
    <x v="1106"/>
    <x v="4"/>
    <n v="1624"/>
    <n v="2495"/>
    <n v="35"/>
    <n v="4.0999999999999996"/>
    <n v="827"/>
    <x v="1"/>
  </r>
  <r>
    <s v="B01F7B2JCI"/>
    <x v="1107"/>
    <x v="4"/>
    <n v="184"/>
    <n v="450"/>
    <n v="59"/>
    <n v="4.2"/>
    <n v="4971"/>
    <x v="2"/>
  </r>
  <r>
    <s v="B09NNZ1GF7"/>
    <x v="1108"/>
    <x v="4"/>
    <n v="445"/>
    <n v="999"/>
    <n v="55"/>
    <n v="4.3"/>
    <n v="229"/>
    <x v="0"/>
  </r>
  <r>
    <s v="B01CS4A5V4"/>
    <x v="1109"/>
    <x v="4"/>
    <n v="699"/>
    <n v="1690"/>
    <n v="59"/>
    <n v="4.0999999999999996"/>
    <n v="3524"/>
    <x v="0"/>
  </r>
  <r>
    <s v="B0BL11S5QK"/>
    <x v="1110"/>
    <x v="4"/>
    <n v="1601"/>
    <n v="3890"/>
    <n v="59"/>
    <n v="4.2"/>
    <n v="156"/>
    <x v="1"/>
  </r>
  <r>
    <s v="B09BL2KHQW"/>
    <x v="1111"/>
    <x v="4"/>
    <n v="231"/>
    <n v="260"/>
    <n v="11"/>
    <n v="4.0999999999999996"/>
    <n v="490"/>
    <x v="2"/>
  </r>
  <r>
    <s v="B081RLM75M"/>
    <x v="1112"/>
    <x v="4"/>
    <n v="369"/>
    <n v="599"/>
    <n v="38"/>
    <n v="3.9"/>
    <n v="82"/>
    <x v="0"/>
  </r>
  <r>
    <s v="B07SYYVP69"/>
    <x v="1113"/>
    <x v="4"/>
    <n v="809"/>
    <n v="1950"/>
    <n v="59"/>
    <n v="3.9"/>
    <n v="710"/>
    <x v="0"/>
  </r>
  <r>
    <s v="B0BDZWMGZ1"/>
    <x v="1114"/>
    <x v="4"/>
    <n v="1199"/>
    <n v="2990"/>
    <n v="60"/>
    <n v="3.8"/>
    <n v="133"/>
    <x v="1"/>
  </r>
  <r>
    <s v="B078JT7LTD"/>
    <x v="1115"/>
    <x v="4"/>
    <n v="6120"/>
    <n v="8073"/>
    <n v="24"/>
    <n v="4.5999999999999996"/>
    <n v="2751"/>
    <x v="1"/>
  </r>
  <r>
    <s v="B09WF4Q7B3"/>
    <x v="1116"/>
    <x v="4"/>
    <n v="1799"/>
    <n v="2599"/>
    <n v="31"/>
    <n v="3.6"/>
    <n v="771"/>
    <x v="1"/>
  </r>
  <r>
    <s v="B092R48XXB"/>
    <x v="1117"/>
    <x v="4"/>
    <n v="18999"/>
    <n v="29999"/>
    <n v="37"/>
    <n v="4.0999999999999996"/>
    <n v="2536"/>
    <x v="1"/>
  </r>
  <r>
    <s v="B00KIDSU8S"/>
    <x v="1118"/>
    <x v="4"/>
    <n v="1999"/>
    <n v="2360"/>
    <n v="15"/>
    <n v="4.2"/>
    <n v="7801"/>
    <x v="1"/>
  </r>
  <r>
    <s v="B0977CGNJJ"/>
    <x v="1119"/>
    <x v="4"/>
    <n v="5999"/>
    <n v="11495"/>
    <n v="48"/>
    <n v="4.3"/>
    <n v="534"/>
    <x v="1"/>
  </r>
  <r>
    <s v="B08WWKM5HQ"/>
    <x v="1120"/>
    <x v="4"/>
    <n v="2599"/>
    <n v="4780"/>
    <n v="46"/>
    <n v="3.9"/>
    <n v="898"/>
    <x v="1"/>
  </r>
  <r>
    <s v="B015GX9Y0W"/>
    <x v="1121"/>
    <x v="4"/>
    <n v="1199"/>
    <n v="2400"/>
    <n v="50"/>
    <n v="3.9"/>
    <n v="1202"/>
    <x v="1"/>
  </r>
  <r>
    <s v="B089BDBDGM"/>
    <x v="1122"/>
    <x v="4"/>
    <n v="219"/>
    <n v="249"/>
    <n v="12"/>
    <n v="4"/>
    <n v="1108"/>
    <x v="2"/>
  </r>
  <r>
    <s v="B0BPBG712X"/>
    <x v="1123"/>
    <x v="4"/>
    <n v="799"/>
    <n v="1199"/>
    <n v="33"/>
    <n v="4.4000000000000004"/>
    <n v="17"/>
    <x v="0"/>
  </r>
  <r>
    <s v="B00JBNZPFM"/>
    <x v="1124"/>
    <x v="4"/>
    <n v="6199"/>
    <n v="10999"/>
    <n v="44"/>
    <n v="4.2"/>
    <n v="10429"/>
    <x v="1"/>
  </r>
  <r>
    <s v="B08N6P8G5K"/>
    <x v="1125"/>
    <x v="4"/>
    <n v="6790"/>
    <n v="10995"/>
    <n v="38"/>
    <n v="4.5"/>
    <n v="3192"/>
    <x v="1"/>
  </r>
  <r>
    <s v="B07NPBG1B4"/>
    <x v="1126"/>
    <x v="4"/>
    <n v="198284"/>
    <n v="3300"/>
    <n v="40"/>
    <n v="4.0999999999999996"/>
    <n v="5873"/>
    <x v="1"/>
  </r>
  <r>
    <s v="B01MRARGBW"/>
    <x v="1127"/>
    <x v="4"/>
    <n v="199"/>
    <n v="400"/>
    <n v="50"/>
    <n v="4.0999999999999996"/>
    <n v="1379"/>
    <x v="2"/>
  </r>
  <r>
    <s v="B07VZYMQNZ"/>
    <x v="1128"/>
    <x v="4"/>
    <n v="1180"/>
    <n v="1440"/>
    <n v="18"/>
    <n v="4.2"/>
    <n v="1527"/>
    <x v="0"/>
  </r>
  <r>
    <s v="B01L7C4IU2"/>
    <x v="1129"/>
    <x v="4"/>
    <n v="2199"/>
    <n v="3045"/>
    <n v="28"/>
    <n v="4.2"/>
    <n v="2686"/>
    <x v="1"/>
  </r>
  <r>
    <s v="B09H7JDJCW"/>
    <x v="1130"/>
    <x v="4"/>
    <n v="2999"/>
    <n v="3595"/>
    <n v="17"/>
    <n v="4"/>
    <n v="178"/>
    <x v="1"/>
  </r>
  <r>
    <s v="B07F6GXNPB"/>
    <x v="1131"/>
    <x v="4"/>
    <n v="253"/>
    <n v="500"/>
    <n v="49"/>
    <n v="4.3"/>
    <n v="2664"/>
    <x v="0"/>
  </r>
  <r>
    <s v="B0B97D658R"/>
    <x v="1132"/>
    <x v="4"/>
    <n v="499"/>
    <n v="799"/>
    <n v="38"/>
    <n v="3.6"/>
    <n v="212"/>
    <x v="0"/>
  </r>
  <r>
    <s v="B09NFSHCWN"/>
    <x v="1133"/>
    <x v="4"/>
    <n v="1149"/>
    <n v="1899"/>
    <n v="39"/>
    <n v="3.5"/>
    <n v="24"/>
    <x v="0"/>
  </r>
  <r>
    <s v="B076VQS87V"/>
    <x v="1134"/>
    <x v="4"/>
    <n v="457"/>
    <n v="799"/>
    <n v="43"/>
    <n v="4.3"/>
    <n v="1868"/>
    <x v="0"/>
  </r>
  <r>
    <s v="B09LMMFW3S"/>
    <x v="1135"/>
    <x v="4"/>
    <n v="229"/>
    <n v="399"/>
    <n v="43"/>
    <n v="3.6"/>
    <n v="451"/>
    <x v="2"/>
  </r>
  <r>
    <s v="B0BBLHTRM9"/>
    <x v="1136"/>
    <x v="4"/>
    <n v="199"/>
    <n v="699"/>
    <n v="72"/>
    <n v="2.9"/>
    <n v="159"/>
    <x v="0"/>
  </r>
  <r>
    <s v="B0BJYSCWFQ"/>
    <x v="1137"/>
    <x v="4"/>
    <n v="899"/>
    <n v="1999"/>
    <n v="55"/>
    <n v="4.2"/>
    <n v="39"/>
    <x v="0"/>
  </r>
  <r>
    <s v="B0187F2IOK"/>
    <x v="1138"/>
    <x v="4"/>
    <n v="1499"/>
    <n v="2199"/>
    <n v="32"/>
    <n v="4.4000000000000004"/>
    <n v="6531"/>
    <x v="1"/>
  </r>
  <r>
    <s v="B0B8CB7MHW"/>
    <x v="1139"/>
    <x v="4"/>
    <n v="426"/>
    <n v="999"/>
    <n v="57"/>
    <n v="4.0999999999999996"/>
    <n v="222"/>
    <x v="0"/>
  </r>
  <r>
    <s v="B07K19NYZ8"/>
    <x v="1140"/>
    <x v="4"/>
    <n v="2320"/>
    <n v="3290"/>
    <n v="29"/>
    <n v="3.8"/>
    <n v="195"/>
    <x v="1"/>
  </r>
  <r>
    <s v="B00GHL8VP2"/>
    <x v="1141"/>
    <x v="4"/>
    <n v="348777"/>
    <n v="4990"/>
    <n v="30"/>
    <n v="4.0999999999999996"/>
    <n v="1127"/>
    <x v="1"/>
  </r>
  <r>
    <s v="B0B9JZW1SQ"/>
    <x v="1142"/>
    <x v="4"/>
    <n v="498"/>
    <n v="1200"/>
    <n v="59"/>
    <n v="3.2"/>
    <n v="113"/>
    <x v="0"/>
  </r>
  <r>
    <s v="B00TI8E7BI"/>
    <x v="1143"/>
    <x v="4"/>
    <n v="2695"/>
    <n v="2695"/>
    <n v="0"/>
    <n v="4.4000000000000004"/>
    <n v="2518"/>
    <x v="1"/>
  </r>
  <r>
    <s v="B07J9KXQCC"/>
    <x v="1144"/>
    <x v="4"/>
    <n v="949"/>
    <n v="2299"/>
    <n v="59"/>
    <n v="3.6"/>
    <n v="550"/>
    <x v="1"/>
  </r>
  <r>
    <s v="B0B3JSWG81"/>
    <x v="1145"/>
    <x v="4"/>
    <n v="199"/>
    <n v="999"/>
    <n v="80"/>
    <n v="3.1"/>
    <n v="2"/>
    <x v="0"/>
  </r>
  <r>
    <s v="B08L7J3T31"/>
    <x v="1146"/>
    <x v="4"/>
    <n v="379"/>
    <n v="919"/>
    <n v="59"/>
    <n v="4"/>
    <n v="1090"/>
    <x v="0"/>
  </r>
  <r>
    <s v="B01M6453MB"/>
    <x v="1147"/>
    <x v="4"/>
    <n v="2280"/>
    <n v="3045"/>
    <n v="25"/>
    <n v="4.0999999999999996"/>
    <n v="4118"/>
    <x v="1"/>
  </r>
  <r>
    <s v="B009P2LIL4"/>
    <x v="1148"/>
    <x v="4"/>
    <n v="2219"/>
    <n v="3080"/>
    <n v="28"/>
    <n v="3.6"/>
    <n v="468"/>
    <x v="1"/>
  </r>
  <r>
    <s v="B00J5DYCCA"/>
    <x v="1149"/>
    <x v="4"/>
    <n v="1399"/>
    <n v="1890"/>
    <n v="26"/>
    <n v="4"/>
    <n v="8031"/>
    <x v="0"/>
  </r>
  <r>
    <s v="B01486F4G6"/>
    <x v="1150"/>
    <x v="4"/>
    <n v="2863"/>
    <n v="3690"/>
    <n v="22"/>
    <n v="4.3"/>
    <n v="698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C68DEE-996B-4E6C-8BF6-AAC70A1CE0F3}"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5" firstHeaderRow="1" firstDataRow="1" firstDataCol="1"/>
  <pivotFields count="9">
    <pivotField dataField="1" showAll="0"/>
    <pivotField showAll="0"/>
    <pivotField axis="axisRow" showAll="0" measureFilter="1">
      <items count="10">
        <item x="7"/>
        <item x="0"/>
        <item x="1"/>
        <item x="8"/>
        <item x="4"/>
        <item x="5"/>
        <item x="2"/>
        <item x="3"/>
        <item x="6"/>
        <item t="default"/>
      </items>
    </pivotField>
    <pivotField showAll="0"/>
    <pivotField showAll="0"/>
    <pivotField showAll="0"/>
    <pivotField showAll="0"/>
    <pivotField showAll="0" maxSubtotal="1"/>
    <pivotField showAll="0">
      <items count="4">
        <item x="2"/>
        <item x="0"/>
        <item x="1"/>
        <item t="default"/>
      </items>
    </pivotField>
  </pivotFields>
  <rowFields count="1">
    <field x="2"/>
  </rowFields>
  <rowItems count="2">
    <i>
      <x v="4"/>
    </i>
    <i t="grand">
      <x/>
    </i>
  </rowItems>
  <colItems count="1">
    <i/>
  </colItems>
  <dataFields count="1">
    <dataField name="Count of product_id" fld="0" subtotal="count" baseField="0" baseItem="0"/>
  </dataFields>
  <formats count="2">
    <format dxfId="108">
      <pivotArea outline="0" collapsedLevelsAreSubtotals="1" fieldPosition="0"/>
    </format>
    <format dxfId="107">
      <pivotArea collapsedLevelsAreSubtotals="1" fieldPosition="0">
        <references count="1">
          <reference field="2" count="0"/>
        </references>
      </pivotArea>
    </format>
  </format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265E04-CC14-4848-8186-380876A69C8F}"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55" firstHeaderRow="1" firstDataRow="1" firstDataCol="1"/>
  <pivotFields count="9">
    <pivotField showAll="0"/>
    <pivotField axis="axisRow" showAll="0">
      <items count="1153">
        <item x="851"/>
        <item x="979"/>
        <item x="63"/>
        <item x="353"/>
        <item x="563"/>
        <item x="399"/>
        <item x="1142"/>
        <item x="170"/>
        <item x="99"/>
        <item x="159"/>
        <item x="8"/>
        <item x="83"/>
        <item x="80"/>
        <item x="55"/>
        <item x="126"/>
        <item x="160"/>
        <item x="220"/>
        <item x="200"/>
        <item x="146"/>
        <item x="1096"/>
        <item x="172"/>
        <item x="57"/>
        <item x="19"/>
        <item x="92"/>
        <item x="1"/>
        <item x="465"/>
        <item x="982"/>
        <item x="1114"/>
        <item x="853"/>
        <item x="919"/>
        <item x="860"/>
        <item x="939"/>
        <item x="256"/>
        <item x="141"/>
        <item x="1022"/>
        <item x="762"/>
        <item x="1094"/>
        <item x="1023"/>
        <item x="754"/>
        <item x="897"/>
        <item x="759"/>
        <item x="1071"/>
        <item x="1085"/>
        <item x="1119"/>
        <item x="800"/>
        <item x="222"/>
        <item x="501"/>
        <item x="478"/>
        <item x="566"/>
        <item x="178"/>
        <item x="70"/>
        <item x="13"/>
        <item x="229"/>
        <item x="941"/>
        <item x="882"/>
        <item x="962"/>
        <item x="661"/>
        <item x="208"/>
        <item x="767"/>
        <item x="149"/>
        <item x="369"/>
        <item x="785"/>
        <item x="1019"/>
        <item x="977"/>
        <item x="132"/>
        <item x="7"/>
        <item x="490"/>
        <item x="488"/>
        <item x="32"/>
        <item x="104"/>
        <item x="108"/>
        <item x="128"/>
        <item x="518"/>
        <item x="721"/>
        <item x="181"/>
        <item x="186"/>
        <item x="215"/>
        <item x="168"/>
        <item x="194"/>
        <item x="227"/>
        <item x="53"/>
        <item x="56"/>
        <item x="142"/>
        <item x="52"/>
        <item x="1025"/>
        <item x="84"/>
        <item x="192"/>
        <item x="1126"/>
        <item x="174"/>
        <item x="923"/>
        <item x="9"/>
        <item x="60"/>
        <item x="71"/>
        <item x="127"/>
        <item x="103"/>
        <item x="197"/>
        <item x="156"/>
        <item x="274"/>
        <item x="371"/>
        <item x="150"/>
        <item x="87"/>
        <item x="72"/>
        <item x="273"/>
        <item x="984"/>
        <item x="120"/>
        <item x="305"/>
        <item x="580"/>
        <item x="588"/>
        <item x="1008"/>
        <item x="520"/>
        <item x="586"/>
        <item x="1103"/>
        <item x="976"/>
        <item x="1012"/>
        <item x="901"/>
        <item x="683"/>
        <item x="183"/>
        <item x="135"/>
        <item x="842"/>
        <item x="847"/>
        <item x="995"/>
        <item x="872"/>
        <item x="801"/>
        <item x="900"/>
        <item x="798"/>
        <item x="734"/>
        <item x="773"/>
        <item x="870"/>
        <item x="1138"/>
        <item x="748"/>
        <item x="1028"/>
        <item x="743"/>
        <item x="1148"/>
        <item x="793"/>
        <item x="763"/>
        <item x="787"/>
        <item x="741"/>
        <item x="774"/>
        <item x="960"/>
        <item x="819"/>
        <item x="951"/>
        <item x="744"/>
        <item x="876"/>
        <item x="1100"/>
        <item x="727"/>
        <item x="739"/>
        <item x="799"/>
        <item x="915"/>
        <item x="723"/>
        <item x="113"/>
        <item x="681"/>
        <item x="145"/>
        <item x="213"/>
        <item x="714"/>
        <item x="1029"/>
        <item x="932"/>
        <item x="73"/>
        <item x="119"/>
        <item x="154"/>
        <item x="382"/>
        <item x="378"/>
        <item x="473"/>
        <item x="451"/>
        <item x="590"/>
        <item x="242"/>
        <item x="377"/>
        <item x="635"/>
        <item x="401"/>
        <item x="400"/>
        <item x="507"/>
        <item x="286"/>
        <item x="716"/>
        <item x="23"/>
        <item x="466"/>
        <item x="40"/>
        <item x="102"/>
        <item x="133"/>
        <item x="300"/>
        <item x="384"/>
        <item x="410"/>
        <item x="437"/>
        <item x="387"/>
        <item x="432"/>
        <item x="167"/>
        <item x="546"/>
        <item x="703"/>
        <item x="544"/>
        <item x="42"/>
        <item x="65"/>
        <item x="298"/>
        <item x="318"/>
        <item x="781"/>
        <item x="943"/>
        <item x="1150"/>
        <item x="1087"/>
        <item x="1128"/>
        <item x="1034"/>
        <item x="788"/>
        <item x="419"/>
        <item x="598"/>
        <item x="408"/>
        <item x="639"/>
        <item x="591"/>
        <item x="393"/>
        <item x="425"/>
        <item x="516"/>
        <item x="426"/>
        <item x="523"/>
        <item x="417"/>
        <item x="396"/>
        <item x="502"/>
        <item x="930"/>
        <item x="869"/>
        <item x="548"/>
        <item x="1080"/>
        <item x="789"/>
        <item x="772"/>
        <item x="779"/>
        <item x="1039"/>
        <item x="764"/>
        <item x="827"/>
        <item x="896"/>
        <item x="817"/>
        <item x="165"/>
        <item x="652"/>
        <item x="1086"/>
        <item x="115"/>
        <item x="486"/>
        <item x="614"/>
        <item x="628"/>
        <item x="692"/>
        <item x="708"/>
        <item x="1075"/>
        <item x="1088"/>
        <item x="1050"/>
        <item x="969"/>
        <item x="710"/>
        <item x="679"/>
        <item x="643"/>
        <item x="152"/>
        <item x="1098"/>
        <item x="709"/>
        <item x="427"/>
        <item x="411"/>
        <item x="668"/>
        <item x="487"/>
        <item x="981"/>
        <item x="1003"/>
        <item x="1093"/>
        <item x="477"/>
        <item x="705"/>
        <item x="682"/>
        <item x="532"/>
        <item x="620"/>
        <item x="619"/>
        <item x="398"/>
        <item x="666"/>
        <item x="583"/>
        <item x="551"/>
        <item x="448"/>
        <item x="459"/>
        <item x="837"/>
        <item x="118"/>
        <item x="43"/>
        <item x="873"/>
        <item x="601"/>
        <item x="844"/>
        <item x="157"/>
        <item x="735"/>
        <item x="39"/>
        <item x="966"/>
        <item x="780"/>
        <item x="1038"/>
        <item x="797"/>
        <item x="1120"/>
        <item x="975"/>
        <item x="833"/>
        <item x="1026"/>
        <item x="814"/>
        <item x="808"/>
        <item x="978"/>
        <item x="843"/>
        <item x="952"/>
        <item x="889"/>
        <item x="1035"/>
        <item x="36"/>
        <item x="550"/>
        <item x="711"/>
        <item x="519"/>
        <item x="129"/>
        <item x="998"/>
        <item x="175"/>
        <item x="549"/>
        <item x="177"/>
        <item x="31"/>
        <item x="394"/>
        <item x="395"/>
        <item x="402"/>
        <item x="418"/>
        <item x="985"/>
        <item x="457"/>
        <item x="665"/>
        <item x="531"/>
        <item x="413"/>
        <item x="569"/>
        <item x="603"/>
        <item x="937"/>
        <item x="258"/>
        <item x="508"/>
        <item x="636"/>
        <item x="627"/>
        <item x="110"/>
        <item x="474"/>
        <item x="450"/>
        <item x="572"/>
        <item x="74"/>
        <item x="397"/>
        <item x="463"/>
        <item x="713"/>
        <item x="534"/>
        <item x="376"/>
        <item x="1107"/>
        <item x="1127"/>
        <item x="685"/>
        <item x="526"/>
        <item x="993"/>
        <item x="81"/>
        <item x="45"/>
        <item x="153"/>
        <item x="374"/>
        <item x="306"/>
        <item x="247"/>
        <item x="313"/>
        <item x="1082"/>
        <item x="336"/>
        <item x="904"/>
        <item x="581"/>
        <item x="573"/>
        <item x="909"/>
        <item x="443"/>
        <item x="1054"/>
        <item x="545"/>
        <item x="926"/>
        <item x="640"/>
        <item x="230"/>
        <item x="946"/>
        <item x="1042"/>
        <item x="967"/>
        <item x="1131"/>
        <item x="864"/>
        <item x="794"/>
        <item x="852"/>
        <item x="420"/>
        <item x="497"/>
        <item x="218"/>
        <item x="645"/>
        <item x="868"/>
        <item x="570"/>
        <item x="914"/>
        <item x="267"/>
        <item x="496"/>
        <item x="361"/>
        <item x="254"/>
        <item x="565"/>
        <item x="596"/>
        <item x="373"/>
        <item x="193"/>
        <item x="98"/>
        <item x="6"/>
        <item x="96"/>
        <item x="162"/>
        <item x="327"/>
        <item x="112"/>
        <item x="17"/>
        <item x="364"/>
        <item x="694"/>
        <item x="460"/>
        <item x="1077"/>
        <item x="955"/>
        <item x="79"/>
        <item x="28"/>
        <item x="803"/>
        <item x="700"/>
        <item x="691"/>
        <item x="529"/>
        <item x="424"/>
        <item x="669"/>
        <item x="567"/>
        <item x="525"/>
        <item x="543"/>
        <item x="470"/>
        <item x="415"/>
        <item x="539"/>
        <item x="1106"/>
        <item x="724"/>
        <item x="282"/>
        <item x="1017"/>
        <item x="1043"/>
        <item x="1129"/>
        <item x="738"/>
        <item x="928"/>
        <item x="758"/>
        <item x="1064"/>
        <item x="1009"/>
        <item x="999"/>
        <item x="893"/>
        <item x="1058"/>
        <item x="753"/>
        <item x="858"/>
        <item x="920"/>
        <item x="1013"/>
        <item x="736"/>
        <item x="899"/>
        <item x="1149"/>
        <item x="1118"/>
        <item x="971"/>
        <item x="688"/>
        <item x="804"/>
        <item x="1021"/>
        <item x="786"/>
        <item x="877"/>
        <item x="1133"/>
        <item x="148"/>
        <item x="841"/>
        <item x="947"/>
        <item x="50"/>
        <item x="195"/>
        <item x="856"/>
        <item x="875"/>
        <item x="961"/>
        <item x="449"/>
        <item x="657"/>
        <item x="689"/>
        <item x="455"/>
        <item x="414"/>
        <item x="602"/>
        <item x="672"/>
        <item x="706"/>
        <item x="632"/>
        <item x="699"/>
        <item x="693"/>
        <item x="514"/>
        <item x="712"/>
        <item x="390"/>
        <item x="404"/>
        <item x="579"/>
        <item x="630"/>
        <item x="391"/>
        <item x="429"/>
        <item x="540"/>
        <item x="987"/>
        <item x="956"/>
        <item x="515"/>
        <item x="950"/>
        <item x="1110"/>
        <item x="1090"/>
        <item x="879"/>
        <item x="1113"/>
        <item x="972"/>
        <item x="1011"/>
        <item x="54"/>
        <item x="823"/>
        <item x="813"/>
        <item x="958"/>
        <item x="1135"/>
        <item x="684"/>
        <item x="1125"/>
        <item x="942"/>
        <item x="970"/>
        <item x="749"/>
        <item x="906"/>
        <item x="940"/>
        <item x="1030"/>
        <item x="1000"/>
        <item x="1010"/>
        <item x="973"/>
        <item x="922"/>
        <item x="719"/>
        <item x="500"/>
        <item x="611"/>
        <item x="1062"/>
        <item x="554"/>
        <item x="1016"/>
        <item x="829"/>
        <item x="834"/>
        <item x="986"/>
        <item x="701"/>
        <item x="1060"/>
        <item x="1051"/>
        <item x="1136"/>
        <item x="344"/>
        <item x="348"/>
        <item x="264"/>
        <item x="251"/>
        <item x="301"/>
        <item x="266"/>
        <item x="284"/>
        <item x="294"/>
        <item x="214"/>
        <item x="33"/>
        <item x="592"/>
        <item x="308"/>
        <item x="464"/>
        <item x="388"/>
        <item x="495"/>
        <item x="480"/>
        <item x="469"/>
        <item x="1049"/>
        <item x="891"/>
        <item x="489"/>
        <item x="106"/>
        <item x="1124"/>
        <item x="1047"/>
        <item x="1067"/>
        <item x="968"/>
        <item x="861"/>
        <item x="831"/>
        <item x="1101"/>
        <item x="740"/>
        <item x="782"/>
        <item x="903"/>
        <item x="863"/>
        <item x="965"/>
        <item x="874"/>
        <item x="994"/>
        <item x="1111"/>
        <item x="828"/>
        <item x="1046"/>
        <item x="996"/>
        <item x="46"/>
        <item x="571"/>
        <item x="1052"/>
        <item x="822"/>
        <item x="1137"/>
        <item x="857"/>
        <item x="913"/>
        <item x="600"/>
        <item x="1139"/>
        <item x="1061"/>
        <item x="209"/>
        <item x="198"/>
        <item x="191"/>
        <item x="1057"/>
        <item x="176"/>
        <item x="1079"/>
        <item x="990"/>
        <item x="890"/>
        <item x="1122"/>
        <item x="811"/>
        <item x="328"/>
        <item x="1112"/>
        <item x="359"/>
        <item x="47"/>
        <item x="575"/>
        <item x="594"/>
        <item x="528"/>
        <item x="389"/>
        <item x="173"/>
        <item x="24"/>
        <item x="624"/>
        <item x="1132"/>
        <item x="362"/>
        <item x="203"/>
        <item x="696"/>
        <item x="606"/>
        <item x="533"/>
        <item x="560"/>
        <item x="597"/>
        <item x="629"/>
        <item x="715"/>
        <item x="185"/>
        <item x="1041"/>
        <item x="61"/>
        <item x="187"/>
        <item x="41"/>
        <item x="1144"/>
        <item x="1105"/>
        <item x="921"/>
        <item x="745"/>
        <item x="770"/>
        <item x="742"/>
        <item x="1069"/>
        <item x="812"/>
        <item x="746"/>
        <item x="766"/>
        <item x="1078"/>
        <item x="840"/>
        <item x="1121"/>
        <item x="949"/>
        <item x="1108"/>
        <item x="815"/>
        <item x="845"/>
        <item x="988"/>
        <item x="475"/>
        <item x="380"/>
        <item x="536"/>
        <item x="622"/>
        <item x="676"/>
        <item x="456"/>
        <item x="678"/>
        <item x="561"/>
        <item x="447"/>
        <item x="483"/>
        <item x="613"/>
        <item x="506"/>
        <item x="485"/>
        <item x="568"/>
        <item x="585"/>
        <item x="144"/>
        <item x="27"/>
        <item x="109"/>
        <item x="88"/>
        <item x="179"/>
        <item x="1083"/>
        <item x="1031"/>
        <item x="64"/>
        <item x="68"/>
        <item x="599"/>
        <item x="207"/>
        <item x="820"/>
        <item x="219"/>
        <item x="521"/>
        <item x="1063"/>
        <item x="796"/>
        <item x="964"/>
        <item x="1091"/>
        <item x="541"/>
        <item x="980"/>
        <item x="440"/>
        <item x="182"/>
        <item x="289"/>
        <item x="246"/>
        <item x="245"/>
        <item x="4"/>
        <item x="311"/>
        <item x="231"/>
        <item x="59"/>
        <item x="295"/>
        <item x="637"/>
        <item x="223"/>
        <item x="865"/>
        <item x="233"/>
        <item x="360"/>
        <item x="1117"/>
        <item x="279"/>
        <item x="78"/>
        <item x="1014"/>
        <item x="806"/>
        <item x="878"/>
        <item x="370"/>
        <item x="14"/>
        <item x="1109"/>
        <item x="954"/>
        <item x="1005"/>
        <item x="886"/>
        <item x="948"/>
        <item x="737"/>
        <item x="297"/>
        <item x="974"/>
        <item x="963"/>
        <item x="322"/>
        <item x="123"/>
        <item x="324"/>
        <item x="1048"/>
        <item x="1145"/>
        <item x="1002"/>
        <item x="206"/>
        <item x="1146"/>
        <item x="326"/>
        <item x="462"/>
        <item x="527"/>
        <item x="479"/>
        <item x="492"/>
        <item x="312"/>
        <item x="368"/>
        <item x="356"/>
        <item x="593"/>
        <item x="342"/>
        <item x="633"/>
        <item x="321"/>
        <item x="476"/>
        <item x="351"/>
        <item x="290"/>
        <item x="275"/>
        <item x="341"/>
        <item x="345"/>
        <item x="756"/>
        <item x="430"/>
        <item x="704"/>
        <item x="564"/>
        <item x="22"/>
        <item x="272"/>
        <item x="340"/>
        <item x="3"/>
        <item x="130"/>
        <item x="226"/>
        <item x="2"/>
        <item x="236"/>
        <item x="235"/>
        <item x="325"/>
        <item x="335"/>
        <item x="296"/>
        <item x="261"/>
        <item x="292"/>
        <item x="892"/>
        <item x="675"/>
        <item x="791"/>
        <item x="1037"/>
        <item x="769"/>
        <item x="1020"/>
        <item x="802"/>
        <item x="732"/>
        <item x="1055"/>
        <item x="439"/>
        <item x="677"/>
        <item x="1015"/>
        <item x="511"/>
        <item x="707"/>
        <item x="607"/>
        <item x="504"/>
        <item x="670"/>
        <item x="641"/>
        <item x="695"/>
        <item x="584"/>
        <item x="933"/>
        <item x="908"/>
        <item x="927"/>
        <item x="925"/>
        <item x="807"/>
        <item x="805"/>
        <item x="1130"/>
        <item x="959"/>
        <item x="929"/>
        <item x="757"/>
        <item x="771"/>
        <item x="752"/>
        <item x="898"/>
        <item x="887"/>
        <item x="775"/>
        <item x="1073"/>
        <item x="1143"/>
        <item x="989"/>
        <item x="854"/>
        <item x="810"/>
        <item x="835"/>
        <item x="760"/>
        <item x="912"/>
        <item x="894"/>
        <item x="422"/>
        <item x="755"/>
        <item x="818"/>
        <item x="761"/>
        <item x="848"/>
        <item x="729"/>
        <item x="795"/>
        <item x="751"/>
        <item x="816"/>
        <item x="725"/>
        <item x="1033"/>
        <item x="697"/>
        <item x="589"/>
        <item x="86"/>
        <item x="367"/>
        <item x="350"/>
        <item x="363"/>
        <item x="352"/>
        <item x="122"/>
        <item x="846"/>
        <item x="1123"/>
        <item x="265"/>
        <item x="299"/>
        <item x="316"/>
        <item x="615"/>
        <item x="136"/>
        <item x="44"/>
        <item x="48"/>
        <item x="287"/>
        <item x="537"/>
        <item x="499"/>
        <item x="552"/>
        <item x="576"/>
        <item x="664"/>
        <item x="547"/>
        <item x="392"/>
        <item x="131"/>
        <item x="825"/>
        <item x="991"/>
        <item x="726"/>
        <item x="953"/>
        <item x="1147"/>
        <item x="728"/>
        <item x="824"/>
        <item x="783"/>
        <item x="1102"/>
        <item x="859"/>
        <item x="750"/>
        <item x="730"/>
        <item x="838"/>
        <item x="1089"/>
        <item x="1032"/>
        <item x="768"/>
        <item x="792"/>
        <item x="867"/>
        <item x="936"/>
        <item x="1104"/>
        <item x="733"/>
        <item x="582"/>
        <item x="201"/>
        <item x="365"/>
        <item x="1004"/>
        <item x="221"/>
        <item x="270"/>
        <item x="315"/>
        <item x="62"/>
        <item x="155"/>
        <item x="38"/>
        <item x="276"/>
        <item x="240"/>
        <item x="317"/>
        <item x="445"/>
        <item x="513"/>
        <item x="626"/>
        <item x="747"/>
        <item x="1040"/>
        <item x="1053"/>
        <item x="1059"/>
        <item x="658"/>
        <item x="90"/>
        <item x="263"/>
        <item x="649"/>
        <item x="259"/>
        <item x="288"/>
        <item x="171"/>
        <item x="494"/>
        <item x="659"/>
        <item x="680"/>
        <item x="559"/>
        <item x="482"/>
        <item x="15"/>
        <item x="241"/>
        <item x="255"/>
        <item x="257"/>
        <item x="314"/>
        <item x="330"/>
        <item x="51"/>
        <item x="252"/>
        <item x="304"/>
        <item x="253"/>
        <item x="237"/>
        <item x="234"/>
        <item x="238"/>
        <item x="357"/>
        <item x="280"/>
        <item x="285"/>
        <item x="323"/>
        <item x="320"/>
        <item x="339"/>
        <item x="631"/>
        <item x="225"/>
        <item x="850"/>
        <item x="138"/>
        <item x="49"/>
        <item x="562"/>
        <item x="945"/>
        <item x="895"/>
        <item x="651"/>
        <item x="663"/>
        <item x="612"/>
        <item x="481"/>
        <item x="776"/>
        <item x="1001"/>
        <item x="902"/>
        <item x="604"/>
        <item x="648"/>
        <item x="454"/>
        <item x="140"/>
        <item x="836"/>
        <item x="1027"/>
        <item x="58"/>
        <item x="1056"/>
        <item x="1044"/>
        <item x="647"/>
        <item x="20"/>
        <item x="180"/>
        <item x="644"/>
        <item x="248"/>
        <item x="77"/>
        <item x="302"/>
        <item x="277"/>
        <item x="269"/>
        <item x="239"/>
        <item x="244"/>
        <item x="271"/>
        <item x="278"/>
        <item x="291"/>
        <item x="309"/>
        <item x="375"/>
        <item x="319"/>
        <item x="250"/>
        <item x="249"/>
        <item x="347"/>
        <item x="366"/>
        <item x="461"/>
        <item x="262"/>
        <item x="331"/>
        <item x="653"/>
        <item x="379"/>
        <item x="498"/>
        <item x="595"/>
        <item x="416"/>
        <item x="510"/>
        <item x="471"/>
        <item x="441"/>
        <item x="453"/>
        <item x="409"/>
        <item x="343"/>
        <item x="530"/>
        <item x="243"/>
        <item x="143"/>
        <item x="211"/>
        <item x="667"/>
        <item x="403"/>
        <item x="555"/>
        <item x="687"/>
        <item x="1092"/>
        <item x="983"/>
        <item x="217"/>
        <item x="731"/>
        <item x="349"/>
        <item x="642"/>
        <item x="784"/>
        <item x="1036"/>
        <item x="95"/>
        <item x="383"/>
        <item x="862"/>
        <item x="18"/>
        <item x="674"/>
        <item x="199"/>
        <item x="765"/>
        <item x="1018"/>
        <item x="139"/>
        <item x="158"/>
        <item x="100"/>
        <item x="608"/>
        <item x="334"/>
        <item x="346"/>
        <item x="293"/>
        <item x="358"/>
        <item x="381"/>
        <item x="161"/>
        <item x="190"/>
        <item x="116"/>
        <item x="101"/>
        <item x="232"/>
        <item x="329"/>
        <item x="385"/>
        <item x="505"/>
        <item x="446"/>
        <item x="423"/>
        <item x="332"/>
        <item x="268"/>
        <item x="517"/>
        <item x="372"/>
        <item x="722"/>
        <item x="924"/>
        <item x="1045"/>
        <item x="1068"/>
        <item x="1115"/>
        <item x="934"/>
        <item x="1084"/>
        <item x="1097"/>
        <item x="616"/>
        <item x="935"/>
        <item x="163"/>
        <item x="303"/>
        <item x="718"/>
        <item x="839"/>
        <item x="916"/>
        <item x="94"/>
        <item x="228"/>
        <item x="216"/>
        <item x="212"/>
        <item x="1134"/>
        <item x="407"/>
        <item x="1081"/>
        <item x="662"/>
        <item x="542"/>
        <item x="512"/>
        <item x="188"/>
        <item x="137"/>
        <item x="11"/>
        <item x="124"/>
        <item x="866"/>
        <item x="25"/>
        <item x="224"/>
        <item x="121"/>
        <item x="205"/>
        <item x="337"/>
        <item x="307"/>
        <item x="938"/>
        <item x="1065"/>
        <item x="826"/>
        <item x="1076"/>
        <item x="114"/>
        <item x="204"/>
        <item x="442"/>
        <item x="354"/>
        <item x="957"/>
        <item x="880"/>
        <item x="184"/>
        <item x="671"/>
        <item x="67"/>
        <item x="91"/>
        <item x="503"/>
        <item x="412"/>
        <item x="431"/>
        <item x="484"/>
        <item x="69"/>
        <item x="472"/>
        <item x="458"/>
        <item x="702"/>
        <item x="29"/>
        <item x="655"/>
        <item x="452"/>
        <item x="0"/>
        <item x="12"/>
        <item x="1070"/>
        <item x="196"/>
        <item x="310"/>
        <item x="690"/>
        <item x="610"/>
        <item x="621"/>
        <item x="557"/>
        <item x="650"/>
        <item x="428"/>
        <item x="117"/>
        <item x="625"/>
        <item x="338"/>
        <item x="355"/>
        <item x="281"/>
        <item x="1141"/>
        <item x="778"/>
        <item x="992"/>
        <item x="849"/>
        <item x="830"/>
        <item x="1074"/>
        <item x="910"/>
        <item x="1140"/>
        <item x="809"/>
        <item x="918"/>
        <item x="931"/>
        <item x="720"/>
        <item x="997"/>
        <item x="883"/>
        <item x="1072"/>
        <item x="888"/>
        <item x="871"/>
        <item x="577"/>
        <item x="881"/>
        <item x="1099"/>
        <item x="855"/>
        <item x="790"/>
        <item x="907"/>
        <item x="189"/>
        <item x="75"/>
        <item x="37"/>
        <item x="164"/>
        <item x="107"/>
        <item x="10"/>
        <item x="605"/>
        <item x="202"/>
        <item x="147"/>
        <item x="21"/>
        <item x="35"/>
        <item x="5"/>
        <item x="89"/>
        <item x="34"/>
        <item x="134"/>
        <item x="169"/>
        <item x="85"/>
        <item x="30"/>
        <item x="660"/>
        <item x="105"/>
        <item x="16"/>
        <item x="93"/>
        <item x="166"/>
        <item x="151"/>
        <item x="333"/>
        <item x="260"/>
        <item x="283"/>
        <item x="656"/>
        <item x="524"/>
        <item x="558"/>
        <item x="535"/>
        <item x="618"/>
        <item x="832"/>
        <item x="885"/>
        <item x="1024"/>
        <item x="821"/>
        <item x="1006"/>
        <item x="905"/>
        <item x="1116"/>
        <item x="911"/>
        <item x="944"/>
        <item x="1095"/>
        <item x="884"/>
        <item x="777"/>
        <item x="125"/>
        <item x="673"/>
        <item x="433"/>
        <item x="686"/>
        <item x="698"/>
        <item x="717"/>
        <item x="111"/>
        <item x="82"/>
        <item x="468"/>
        <item x="493"/>
        <item x="578"/>
        <item x="638"/>
        <item x="491"/>
        <item x="438"/>
        <item x="386"/>
        <item x="574"/>
        <item x="436"/>
        <item x="406"/>
        <item x="467"/>
        <item x="405"/>
        <item x="553"/>
        <item x="556"/>
        <item x="522"/>
        <item x="634"/>
        <item x="435"/>
        <item x="587"/>
        <item x="617"/>
        <item x="444"/>
        <item x="509"/>
        <item x="421"/>
        <item x="26"/>
        <item x="623"/>
        <item x="654"/>
        <item x="609"/>
        <item x="1066"/>
        <item x="538"/>
        <item x="646"/>
        <item x="434"/>
        <item x="210"/>
        <item x="66"/>
        <item x="97"/>
        <item x="76"/>
        <item x="1007"/>
        <item x="917"/>
        <item m="1" x="1151"/>
        <item t="default"/>
      </items>
    </pivotField>
    <pivotField showAll="0"/>
    <pivotField showAll="0"/>
    <pivotField showAll="0"/>
    <pivotField showAll="0"/>
    <pivotField showAll="0"/>
    <pivotField showAll="0"/>
    <pivotField showAll="0">
      <items count="4">
        <item x="2"/>
        <item x="0"/>
        <item x="1"/>
        <item t="default"/>
      </items>
    </pivotField>
  </pivotFields>
  <rowFields count="1">
    <field x="1"/>
  </rowFields>
  <rowItems count="11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EC832C-D3D7-4B23-8544-9A5D95A2B151}"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5" firstHeaderRow="1" firstDataRow="1" firstDataCol="1"/>
  <pivotFields count="9">
    <pivotField showAll="0"/>
    <pivotField axis="axisRow" showAll="0" measureFilter="1">
      <items count="1153">
        <item x="851"/>
        <item x="979"/>
        <item x="63"/>
        <item x="353"/>
        <item x="563"/>
        <item x="399"/>
        <item x="1142"/>
        <item x="170"/>
        <item x="99"/>
        <item x="159"/>
        <item x="8"/>
        <item x="83"/>
        <item x="80"/>
        <item x="55"/>
        <item x="126"/>
        <item x="160"/>
        <item x="220"/>
        <item x="200"/>
        <item x="146"/>
        <item x="1096"/>
        <item x="172"/>
        <item x="57"/>
        <item x="19"/>
        <item x="92"/>
        <item x="1"/>
        <item x="465"/>
        <item x="982"/>
        <item x="1114"/>
        <item x="853"/>
        <item x="919"/>
        <item x="860"/>
        <item x="939"/>
        <item x="256"/>
        <item x="141"/>
        <item x="1022"/>
        <item x="762"/>
        <item x="1094"/>
        <item x="1023"/>
        <item x="754"/>
        <item x="897"/>
        <item x="759"/>
        <item x="1071"/>
        <item x="1085"/>
        <item x="1119"/>
        <item x="800"/>
        <item x="222"/>
        <item x="501"/>
        <item x="478"/>
        <item x="566"/>
        <item x="178"/>
        <item x="70"/>
        <item x="13"/>
        <item x="229"/>
        <item x="941"/>
        <item x="882"/>
        <item x="962"/>
        <item x="661"/>
        <item x="208"/>
        <item x="767"/>
        <item x="149"/>
        <item x="369"/>
        <item x="785"/>
        <item x="1019"/>
        <item x="977"/>
        <item x="132"/>
        <item x="7"/>
        <item x="490"/>
        <item x="488"/>
        <item x="32"/>
        <item x="104"/>
        <item x="108"/>
        <item x="128"/>
        <item x="518"/>
        <item x="721"/>
        <item x="181"/>
        <item x="186"/>
        <item x="215"/>
        <item x="168"/>
        <item x="194"/>
        <item x="227"/>
        <item x="53"/>
        <item x="56"/>
        <item x="142"/>
        <item x="52"/>
        <item x="1025"/>
        <item x="84"/>
        <item x="192"/>
        <item x="1126"/>
        <item x="174"/>
        <item x="923"/>
        <item x="9"/>
        <item x="60"/>
        <item x="71"/>
        <item x="127"/>
        <item x="103"/>
        <item x="197"/>
        <item x="156"/>
        <item x="274"/>
        <item x="371"/>
        <item x="150"/>
        <item x="87"/>
        <item x="72"/>
        <item x="273"/>
        <item x="984"/>
        <item x="120"/>
        <item x="305"/>
        <item x="580"/>
        <item x="588"/>
        <item x="1008"/>
        <item x="520"/>
        <item x="586"/>
        <item x="1103"/>
        <item x="976"/>
        <item x="1012"/>
        <item x="901"/>
        <item x="683"/>
        <item x="183"/>
        <item x="135"/>
        <item x="842"/>
        <item x="847"/>
        <item x="995"/>
        <item x="872"/>
        <item x="801"/>
        <item x="900"/>
        <item x="798"/>
        <item x="734"/>
        <item x="773"/>
        <item x="870"/>
        <item x="1138"/>
        <item x="748"/>
        <item x="1028"/>
        <item x="743"/>
        <item x="1148"/>
        <item x="793"/>
        <item x="763"/>
        <item x="787"/>
        <item x="741"/>
        <item x="774"/>
        <item x="960"/>
        <item x="819"/>
        <item x="951"/>
        <item x="744"/>
        <item x="876"/>
        <item x="1100"/>
        <item x="727"/>
        <item x="739"/>
        <item x="799"/>
        <item x="915"/>
        <item x="723"/>
        <item x="113"/>
        <item x="681"/>
        <item x="145"/>
        <item x="213"/>
        <item x="714"/>
        <item x="1029"/>
        <item x="932"/>
        <item x="73"/>
        <item x="119"/>
        <item x="154"/>
        <item x="382"/>
        <item x="378"/>
        <item x="473"/>
        <item x="451"/>
        <item x="590"/>
        <item x="242"/>
        <item x="377"/>
        <item x="635"/>
        <item x="401"/>
        <item x="400"/>
        <item x="507"/>
        <item x="286"/>
        <item x="716"/>
        <item x="23"/>
        <item x="466"/>
        <item x="40"/>
        <item x="102"/>
        <item x="133"/>
        <item x="300"/>
        <item x="384"/>
        <item x="410"/>
        <item x="437"/>
        <item x="387"/>
        <item x="432"/>
        <item x="167"/>
        <item x="546"/>
        <item x="703"/>
        <item x="544"/>
        <item x="42"/>
        <item x="65"/>
        <item x="298"/>
        <item x="318"/>
        <item x="781"/>
        <item x="943"/>
        <item x="1150"/>
        <item x="1087"/>
        <item x="1128"/>
        <item x="1034"/>
        <item x="788"/>
        <item x="419"/>
        <item x="598"/>
        <item x="408"/>
        <item x="639"/>
        <item x="591"/>
        <item x="393"/>
        <item x="425"/>
        <item x="516"/>
        <item x="426"/>
        <item x="523"/>
        <item x="417"/>
        <item x="396"/>
        <item x="502"/>
        <item x="930"/>
        <item x="869"/>
        <item x="548"/>
        <item x="1080"/>
        <item x="789"/>
        <item x="772"/>
        <item x="779"/>
        <item x="1039"/>
        <item x="764"/>
        <item x="827"/>
        <item x="896"/>
        <item x="817"/>
        <item x="165"/>
        <item x="652"/>
        <item x="1086"/>
        <item x="115"/>
        <item x="486"/>
        <item x="614"/>
        <item x="628"/>
        <item x="692"/>
        <item x="708"/>
        <item x="1075"/>
        <item x="1088"/>
        <item x="1050"/>
        <item x="969"/>
        <item x="710"/>
        <item x="679"/>
        <item x="643"/>
        <item x="152"/>
        <item x="1098"/>
        <item x="709"/>
        <item x="427"/>
        <item x="411"/>
        <item x="668"/>
        <item x="487"/>
        <item x="981"/>
        <item x="1003"/>
        <item x="1093"/>
        <item x="477"/>
        <item x="705"/>
        <item x="682"/>
        <item x="532"/>
        <item x="620"/>
        <item x="619"/>
        <item x="398"/>
        <item x="666"/>
        <item x="583"/>
        <item x="551"/>
        <item x="448"/>
        <item x="459"/>
        <item x="837"/>
        <item x="118"/>
        <item x="43"/>
        <item x="873"/>
        <item x="601"/>
        <item x="844"/>
        <item x="157"/>
        <item x="735"/>
        <item x="39"/>
        <item x="966"/>
        <item x="780"/>
        <item x="1038"/>
        <item x="797"/>
        <item x="1120"/>
        <item x="975"/>
        <item x="833"/>
        <item x="1026"/>
        <item x="814"/>
        <item x="808"/>
        <item x="978"/>
        <item x="843"/>
        <item x="952"/>
        <item x="889"/>
        <item x="1035"/>
        <item x="36"/>
        <item x="550"/>
        <item x="711"/>
        <item x="519"/>
        <item x="129"/>
        <item x="998"/>
        <item x="175"/>
        <item x="549"/>
        <item x="177"/>
        <item x="31"/>
        <item x="394"/>
        <item x="395"/>
        <item x="402"/>
        <item x="418"/>
        <item x="985"/>
        <item x="457"/>
        <item x="665"/>
        <item x="531"/>
        <item x="413"/>
        <item x="569"/>
        <item x="603"/>
        <item x="937"/>
        <item x="258"/>
        <item x="508"/>
        <item x="636"/>
        <item x="627"/>
        <item x="110"/>
        <item x="474"/>
        <item x="450"/>
        <item x="572"/>
        <item x="74"/>
        <item x="397"/>
        <item x="463"/>
        <item x="713"/>
        <item x="534"/>
        <item x="376"/>
        <item x="1107"/>
        <item x="1127"/>
        <item x="685"/>
        <item x="526"/>
        <item x="993"/>
        <item x="81"/>
        <item x="45"/>
        <item x="153"/>
        <item x="374"/>
        <item x="306"/>
        <item x="247"/>
        <item x="313"/>
        <item x="1082"/>
        <item x="336"/>
        <item x="904"/>
        <item x="581"/>
        <item x="573"/>
        <item x="909"/>
        <item x="443"/>
        <item x="1054"/>
        <item x="545"/>
        <item x="926"/>
        <item x="640"/>
        <item x="230"/>
        <item x="946"/>
        <item x="1042"/>
        <item x="967"/>
        <item x="1131"/>
        <item x="864"/>
        <item x="794"/>
        <item x="852"/>
        <item x="420"/>
        <item x="497"/>
        <item x="218"/>
        <item x="645"/>
        <item x="868"/>
        <item x="570"/>
        <item x="914"/>
        <item x="267"/>
        <item x="496"/>
        <item x="361"/>
        <item x="254"/>
        <item x="565"/>
        <item x="596"/>
        <item x="373"/>
        <item x="193"/>
        <item x="98"/>
        <item x="6"/>
        <item x="96"/>
        <item x="162"/>
        <item x="327"/>
        <item x="112"/>
        <item x="17"/>
        <item x="364"/>
        <item x="694"/>
        <item x="460"/>
        <item x="1077"/>
        <item x="955"/>
        <item x="79"/>
        <item x="28"/>
        <item x="803"/>
        <item x="700"/>
        <item x="691"/>
        <item x="529"/>
        <item x="424"/>
        <item x="669"/>
        <item x="567"/>
        <item x="525"/>
        <item x="543"/>
        <item x="470"/>
        <item x="415"/>
        <item x="539"/>
        <item x="1106"/>
        <item x="724"/>
        <item x="282"/>
        <item x="1017"/>
        <item x="1043"/>
        <item x="1129"/>
        <item x="738"/>
        <item x="928"/>
        <item x="758"/>
        <item x="1064"/>
        <item x="1009"/>
        <item x="999"/>
        <item x="893"/>
        <item x="1058"/>
        <item x="753"/>
        <item x="858"/>
        <item x="920"/>
        <item x="1013"/>
        <item x="736"/>
        <item x="899"/>
        <item x="1149"/>
        <item x="1118"/>
        <item x="971"/>
        <item x="688"/>
        <item x="804"/>
        <item x="1021"/>
        <item x="786"/>
        <item x="877"/>
        <item x="1133"/>
        <item x="148"/>
        <item x="841"/>
        <item x="947"/>
        <item x="50"/>
        <item x="195"/>
        <item x="856"/>
        <item x="875"/>
        <item x="961"/>
        <item x="449"/>
        <item x="657"/>
        <item x="689"/>
        <item x="455"/>
        <item x="414"/>
        <item x="602"/>
        <item x="672"/>
        <item x="706"/>
        <item x="632"/>
        <item x="699"/>
        <item x="693"/>
        <item x="514"/>
        <item x="712"/>
        <item x="390"/>
        <item x="404"/>
        <item x="579"/>
        <item x="630"/>
        <item x="391"/>
        <item x="429"/>
        <item x="540"/>
        <item x="987"/>
        <item x="956"/>
        <item x="515"/>
        <item x="950"/>
        <item x="1110"/>
        <item x="1090"/>
        <item x="879"/>
        <item x="1113"/>
        <item x="972"/>
        <item x="1011"/>
        <item x="54"/>
        <item x="823"/>
        <item x="813"/>
        <item x="958"/>
        <item x="1135"/>
        <item x="684"/>
        <item x="1125"/>
        <item x="942"/>
        <item x="970"/>
        <item x="749"/>
        <item x="906"/>
        <item x="940"/>
        <item x="1030"/>
        <item x="1000"/>
        <item x="1010"/>
        <item x="973"/>
        <item x="922"/>
        <item x="719"/>
        <item x="500"/>
        <item x="611"/>
        <item x="1062"/>
        <item x="554"/>
        <item x="1016"/>
        <item x="829"/>
        <item x="834"/>
        <item x="986"/>
        <item x="701"/>
        <item x="1060"/>
        <item x="1051"/>
        <item x="1136"/>
        <item x="344"/>
        <item x="348"/>
        <item x="264"/>
        <item x="251"/>
        <item x="301"/>
        <item x="266"/>
        <item x="284"/>
        <item x="294"/>
        <item x="214"/>
        <item x="33"/>
        <item x="592"/>
        <item x="308"/>
        <item x="464"/>
        <item x="388"/>
        <item x="495"/>
        <item x="480"/>
        <item x="469"/>
        <item x="1049"/>
        <item x="891"/>
        <item x="489"/>
        <item x="106"/>
        <item x="1124"/>
        <item x="1047"/>
        <item x="1067"/>
        <item x="968"/>
        <item x="861"/>
        <item x="831"/>
        <item x="1101"/>
        <item x="740"/>
        <item x="782"/>
        <item x="903"/>
        <item x="863"/>
        <item x="965"/>
        <item x="874"/>
        <item x="994"/>
        <item x="1111"/>
        <item x="828"/>
        <item x="1046"/>
        <item x="996"/>
        <item x="46"/>
        <item x="571"/>
        <item x="1052"/>
        <item x="822"/>
        <item x="1137"/>
        <item x="857"/>
        <item x="913"/>
        <item x="600"/>
        <item x="1139"/>
        <item x="1061"/>
        <item x="209"/>
        <item x="198"/>
        <item x="191"/>
        <item x="1057"/>
        <item x="176"/>
        <item x="1079"/>
        <item x="990"/>
        <item x="890"/>
        <item x="1122"/>
        <item x="811"/>
        <item x="328"/>
        <item x="1112"/>
        <item x="359"/>
        <item x="47"/>
        <item x="575"/>
        <item x="594"/>
        <item x="528"/>
        <item x="389"/>
        <item x="173"/>
        <item x="24"/>
        <item x="624"/>
        <item x="1132"/>
        <item x="362"/>
        <item x="203"/>
        <item x="696"/>
        <item x="606"/>
        <item x="533"/>
        <item x="560"/>
        <item x="597"/>
        <item x="629"/>
        <item x="715"/>
        <item x="185"/>
        <item x="1041"/>
        <item x="61"/>
        <item x="187"/>
        <item x="41"/>
        <item x="1144"/>
        <item x="1105"/>
        <item x="921"/>
        <item x="745"/>
        <item x="770"/>
        <item x="742"/>
        <item x="1069"/>
        <item x="812"/>
        <item x="746"/>
        <item x="766"/>
        <item x="1078"/>
        <item x="840"/>
        <item x="1121"/>
        <item x="949"/>
        <item x="1108"/>
        <item x="815"/>
        <item x="845"/>
        <item x="988"/>
        <item x="475"/>
        <item x="380"/>
        <item x="536"/>
        <item x="622"/>
        <item x="676"/>
        <item x="456"/>
        <item x="678"/>
        <item x="561"/>
        <item x="447"/>
        <item x="483"/>
        <item x="613"/>
        <item x="506"/>
        <item x="485"/>
        <item x="568"/>
        <item x="585"/>
        <item x="144"/>
        <item x="27"/>
        <item x="109"/>
        <item x="88"/>
        <item x="179"/>
        <item x="1083"/>
        <item x="1031"/>
        <item x="64"/>
        <item x="68"/>
        <item x="599"/>
        <item x="207"/>
        <item x="820"/>
        <item x="219"/>
        <item x="521"/>
        <item x="1063"/>
        <item x="796"/>
        <item x="964"/>
        <item x="1091"/>
        <item x="541"/>
        <item x="980"/>
        <item x="440"/>
        <item x="182"/>
        <item x="289"/>
        <item x="246"/>
        <item x="245"/>
        <item x="4"/>
        <item x="311"/>
        <item x="231"/>
        <item x="59"/>
        <item x="295"/>
        <item x="637"/>
        <item x="223"/>
        <item x="865"/>
        <item x="233"/>
        <item x="360"/>
        <item x="1117"/>
        <item x="279"/>
        <item x="78"/>
        <item x="1014"/>
        <item x="806"/>
        <item x="878"/>
        <item x="370"/>
        <item x="14"/>
        <item x="1109"/>
        <item x="954"/>
        <item x="1005"/>
        <item x="886"/>
        <item x="948"/>
        <item x="737"/>
        <item x="297"/>
        <item x="974"/>
        <item x="963"/>
        <item x="322"/>
        <item x="123"/>
        <item x="324"/>
        <item x="1048"/>
        <item x="1145"/>
        <item x="1002"/>
        <item x="206"/>
        <item x="1146"/>
        <item x="326"/>
        <item x="462"/>
        <item x="527"/>
        <item x="479"/>
        <item x="492"/>
        <item x="312"/>
        <item x="368"/>
        <item x="356"/>
        <item x="593"/>
        <item x="342"/>
        <item x="633"/>
        <item x="321"/>
        <item x="476"/>
        <item x="351"/>
        <item x="290"/>
        <item x="275"/>
        <item x="341"/>
        <item x="345"/>
        <item x="756"/>
        <item x="430"/>
        <item x="704"/>
        <item x="564"/>
        <item x="22"/>
        <item x="272"/>
        <item x="340"/>
        <item x="3"/>
        <item x="130"/>
        <item x="226"/>
        <item x="2"/>
        <item x="236"/>
        <item x="235"/>
        <item x="325"/>
        <item x="335"/>
        <item x="296"/>
        <item x="261"/>
        <item x="292"/>
        <item x="892"/>
        <item x="675"/>
        <item x="791"/>
        <item x="1037"/>
        <item x="769"/>
        <item x="1020"/>
        <item x="802"/>
        <item x="732"/>
        <item x="1055"/>
        <item x="439"/>
        <item x="677"/>
        <item x="1015"/>
        <item x="511"/>
        <item x="707"/>
        <item x="607"/>
        <item x="504"/>
        <item x="670"/>
        <item x="641"/>
        <item x="695"/>
        <item x="584"/>
        <item x="933"/>
        <item x="908"/>
        <item x="927"/>
        <item x="925"/>
        <item x="807"/>
        <item x="805"/>
        <item x="1130"/>
        <item x="959"/>
        <item x="929"/>
        <item x="757"/>
        <item x="771"/>
        <item x="752"/>
        <item x="898"/>
        <item x="887"/>
        <item x="775"/>
        <item x="1073"/>
        <item x="1143"/>
        <item x="989"/>
        <item x="854"/>
        <item x="810"/>
        <item x="835"/>
        <item x="760"/>
        <item x="912"/>
        <item x="894"/>
        <item x="422"/>
        <item x="755"/>
        <item x="818"/>
        <item x="761"/>
        <item x="848"/>
        <item x="729"/>
        <item x="795"/>
        <item x="751"/>
        <item x="816"/>
        <item x="725"/>
        <item x="1033"/>
        <item x="697"/>
        <item x="589"/>
        <item x="86"/>
        <item x="367"/>
        <item x="350"/>
        <item x="363"/>
        <item x="352"/>
        <item x="122"/>
        <item x="846"/>
        <item x="1123"/>
        <item x="265"/>
        <item x="299"/>
        <item x="316"/>
        <item x="615"/>
        <item x="136"/>
        <item x="44"/>
        <item x="48"/>
        <item x="287"/>
        <item x="537"/>
        <item x="499"/>
        <item x="552"/>
        <item x="576"/>
        <item x="664"/>
        <item x="547"/>
        <item x="392"/>
        <item x="131"/>
        <item x="825"/>
        <item x="991"/>
        <item x="726"/>
        <item x="953"/>
        <item x="1147"/>
        <item x="728"/>
        <item x="824"/>
        <item x="783"/>
        <item x="1102"/>
        <item x="859"/>
        <item x="750"/>
        <item x="730"/>
        <item x="838"/>
        <item x="1089"/>
        <item x="1032"/>
        <item x="768"/>
        <item x="792"/>
        <item x="867"/>
        <item x="936"/>
        <item x="1104"/>
        <item x="733"/>
        <item x="582"/>
        <item x="201"/>
        <item x="365"/>
        <item x="1004"/>
        <item x="221"/>
        <item x="270"/>
        <item x="315"/>
        <item x="62"/>
        <item x="155"/>
        <item x="38"/>
        <item x="276"/>
        <item x="240"/>
        <item x="317"/>
        <item x="445"/>
        <item x="513"/>
        <item x="626"/>
        <item x="747"/>
        <item x="1040"/>
        <item x="1053"/>
        <item x="1059"/>
        <item x="658"/>
        <item x="90"/>
        <item x="263"/>
        <item x="649"/>
        <item x="259"/>
        <item x="288"/>
        <item x="171"/>
        <item x="494"/>
        <item x="659"/>
        <item x="680"/>
        <item x="559"/>
        <item x="482"/>
        <item x="15"/>
        <item x="241"/>
        <item x="255"/>
        <item x="257"/>
        <item x="314"/>
        <item x="330"/>
        <item x="51"/>
        <item x="252"/>
        <item x="304"/>
        <item x="253"/>
        <item x="237"/>
        <item x="234"/>
        <item x="238"/>
        <item x="357"/>
        <item x="280"/>
        <item x="285"/>
        <item x="323"/>
        <item x="320"/>
        <item x="339"/>
        <item x="631"/>
        <item x="225"/>
        <item x="850"/>
        <item x="138"/>
        <item x="49"/>
        <item x="562"/>
        <item x="945"/>
        <item x="895"/>
        <item x="651"/>
        <item x="663"/>
        <item x="612"/>
        <item x="481"/>
        <item x="776"/>
        <item x="1001"/>
        <item x="902"/>
        <item x="604"/>
        <item x="648"/>
        <item x="454"/>
        <item x="140"/>
        <item x="836"/>
        <item x="1027"/>
        <item x="58"/>
        <item x="1056"/>
        <item x="1044"/>
        <item x="647"/>
        <item x="20"/>
        <item x="180"/>
        <item x="644"/>
        <item x="248"/>
        <item x="77"/>
        <item x="302"/>
        <item x="277"/>
        <item x="269"/>
        <item x="239"/>
        <item x="244"/>
        <item x="271"/>
        <item x="278"/>
        <item x="291"/>
        <item x="309"/>
        <item x="375"/>
        <item x="319"/>
        <item x="250"/>
        <item x="249"/>
        <item x="347"/>
        <item x="366"/>
        <item x="461"/>
        <item x="262"/>
        <item x="331"/>
        <item x="653"/>
        <item x="379"/>
        <item x="498"/>
        <item x="595"/>
        <item x="416"/>
        <item x="510"/>
        <item x="471"/>
        <item x="441"/>
        <item x="453"/>
        <item x="409"/>
        <item x="343"/>
        <item x="530"/>
        <item x="243"/>
        <item x="143"/>
        <item x="211"/>
        <item x="667"/>
        <item x="403"/>
        <item x="555"/>
        <item x="687"/>
        <item x="1092"/>
        <item x="983"/>
        <item x="217"/>
        <item x="731"/>
        <item x="349"/>
        <item x="642"/>
        <item x="784"/>
        <item x="1036"/>
        <item x="95"/>
        <item x="383"/>
        <item x="862"/>
        <item x="18"/>
        <item x="674"/>
        <item x="199"/>
        <item x="765"/>
        <item x="1018"/>
        <item x="139"/>
        <item x="158"/>
        <item x="100"/>
        <item x="608"/>
        <item x="334"/>
        <item x="346"/>
        <item x="293"/>
        <item x="358"/>
        <item x="381"/>
        <item x="161"/>
        <item x="190"/>
        <item x="116"/>
        <item x="101"/>
        <item x="232"/>
        <item x="329"/>
        <item x="385"/>
        <item x="505"/>
        <item x="446"/>
        <item x="423"/>
        <item x="332"/>
        <item x="268"/>
        <item x="517"/>
        <item x="372"/>
        <item x="722"/>
        <item x="924"/>
        <item x="1045"/>
        <item x="1068"/>
        <item x="1115"/>
        <item x="934"/>
        <item x="1084"/>
        <item x="1097"/>
        <item x="616"/>
        <item x="935"/>
        <item x="163"/>
        <item x="303"/>
        <item x="718"/>
        <item x="839"/>
        <item x="916"/>
        <item x="94"/>
        <item x="228"/>
        <item x="216"/>
        <item x="212"/>
        <item x="1134"/>
        <item x="407"/>
        <item x="1081"/>
        <item x="662"/>
        <item x="542"/>
        <item x="512"/>
        <item x="188"/>
        <item x="137"/>
        <item x="11"/>
        <item x="124"/>
        <item x="866"/>
        <item x="25"/>
        <item x="224"/>
        <item x="121"/>
        <item x="205"/>
        <item x="337"/>
        <item x="307"/>
        <item x="938"/>
        <item x="1065"/>
        <item x="826"/>
        <item x="1076"/>
        <item x="114"/>
        <item x="204"/>
        <item x="442"/>
        <item x="354"/>
        <item x="957"/>
        <item x="880"/>
        <item x="184"/>
        <item x="671"/>
        <item x="67"/>
        <item x="91"/>
        <item x="503"/>
        <item x="412"/>
        <item x="431"/>
        <item x="484"/>
        <item x="69"/>
        <item x="472"/>
        <item x="458"/>
        <item x="702"/>
        <item x="29"/>
        <item x="655"/>
        <item x="452"/>
        <item x="0"/>
        <item x="12"/>
        <item x="1070"/>
        <item x="196"/>
        <item x="310"/>
        <item x="690"/>
        <item x="610"/>
        <item x="621"/>
        <item x="557"/>
        <item x="650"/>
        <item x="428"/>
        <item x="117"/>
        <item x="625"/>
        <item x="338"/>
        <item x="355"/>
        <item x="281"/>
        <item x="1141"/>
        <item x="778"/>
        <item x="992"/>
        <item x="849"/>
        <item x="830"/>
        <item x="1074"/>
        <item x="910"/>
        <item x="1140"/>
        <item x="809"/>
        <item x="918"/>
        <item x="931"/>
        <item x="720"/>
        <item x="997"/>
        <item x="883"/>
        <item x="1072"/>
        <item x="888"/>
        <item x="871"/>
        <item x="577"/>
        <item x="881"/>
        <item x="1099"/>
        <item x="855"/>
        <item x="790"/>
        <item x="907"/>
        <item x="189"/>
        <item x="75"/>
        <item x="37"/>
        <item x="164"/>
        <item x="107"/>
        <item x="10"/>
        <item x="605"/>
        <item x="202"/>
        <item x="147"/>
        <item x="21"/>
        <item x="35"/>
        <item x="5"/>
        <item x="89"/>
        <item x="34"/>
        <item x="134"/>
        <item x="169"/>
        <item x="85"/>
        <item x="30"/>
        <item x="660"/>
        <item x="105"/>
        <item x="16"/>
        <item x="93"/>
        <item x="166"/>
        <item x="151"/>
        <item x="333"/>
        <item x="260"/>
        <item x="283"/>
        <item x="656"/>
        <item x="524"/>
        <item x="558"/>
        <item x="535"/>
        <item x="618"/>
        <item x="832"/>
        <item x="885"/>
        <item x="1024"/>
        <item x="821"/>
        <item x="1006"/>
        <item x="905"/>
        <item x="1116"/>
        <item x="911"/>
        <item x="944"/>
        <item x="1095"/>
        <item x="884"/>
        <item x="777"/>
        <item x="125"/>
        <item x="673"/>
        <item x="433"/>
        <item x="686"/>
        <item x="698"/>
        <item x="717"/>
        <item x="111"/>
        <item x="82"/>
        <item x="468"/>
        <item x="493"/>
        <item x="578"/>
        <item x="638"/>
        <item x="491"/>
        <item x="438"/>
        <item x="386"/>
        <item x="574"/>
        <item x="436"/>
        <item x="406"/>
        <item x="467"/>
        <item x="405"/>
        <item x="553"/>
        <item x="556"/>
        <item x="522"/>
        <item x="634"/>
        <item x="435"/>
        <item x="587"/>
        <item x="617"/>
        <item x="444"/>
        <item x="509"/>
        <item x="421"/>
        <item x="26"/>
        <item x="623"/>
        <item x="654"/>
        <item x="609"/>
        <item x="1066"/>
        <item x="538"/>
        <item x="646"/>
        <item x="434"/>
        <item x="210"/>
        <item x="66"/>
        <item x="97"/>
        <item x="76"/>
        <item x="1007"/>
        <item x="917"/>
        <item m="1" x="1151"/>
        <item t="default"/>
      </items>
    </pivotField>
    <pivotField showAll="0"/>
    <pivotField showAll="0"/>
    <pivotField showAll="0"/>
    <pivotField showAll="0"/>
    <pivotField showAll="0"/>
    <pivotField dataField="1" showAll="0" maxSubtotal="1"/>
    <pivotField showAll="0">
      <items count="4">
        <item x="2"/>
        <item x="0"/>
        <item x="1"/>
        <item t="default"/>
      </items>
    </pivotField>
  </pivotFields>
  <rowFields count="1">
    <field x="1"/>
  </rowFields>
  <rowItems count="2">
    <i>
      <x v="65"/>
    </i>
    <i t="grand">
      <x/>
    </i>
  </rowItems>
  <colItems count="1">
    <i/>
  </colItems>
  <dataFields count="1">
    <dataField name="Max of rating_count" fld="7" subtotal="max" baseField="1" baseItem="0"/>
  </dataFields>
  <formats count="2">
    <format dxfId="110">
      <pivotArea outline="0" collapsedLevelsAreSubtotals="1" fieldPosition="0"/>
    </format>
    <format dxfId="109">
      <pivotArea collapsedLevelsAreSubtotals="1" fieldPosition="0">
        <references count="1">
          <reference field="1" count="1">
            <x v="3"/>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C301E-A666-43D2-835D-9BA4F92EB4A0}"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9">
    <pivotField showAll="0"/>
    <pivotField showAll="0"/>
    <pivotField showAll="0"/>
    <pivotField showAll="0"/>
    <pivotField showAll="0"/>
    <pivotField showAll="0"/>
    <pivotField dataField="1" showAll="0"/>
    <pivotField showAll="0"/>
    <pivotField showAll="0">
      <items count="4">
        <item x="2"/>
        <item x="0"/>
        <item x="1"/>
        <item t="default"/>
      </items>
    </pivotField>
  </pivotFields>
  <rowItems count="1">
    <i/>
  </rowItems>
  <colItems count="1">
    <i/>
  </colItems>
  <dataFields count="1">
    <dataField name="Average of rating" fld="6" subtotal="average" baseField="0" baseItem="0"/>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A2A1F-C3AC-4AC3-81E2-E3C0DE84C397}"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9">
    <pivotField showAll="0"/>
    <pivotField showAll="0"/>
    <pivotField showAll="0"/>
    <pivotField showAll="0"/>
    <pivotField showAll="0"/>
    <pivotField dataField="1" showAll="0"/>
    <pivotField showAll="0"/>
    <pivotField showAll="0"/>
    <pivotField showAll="0">
      <items count="4">
        <item x="2"/>
        <item x="0"/>
        <item x="1"/>
        <item t="default"/>
      </items>
    </pivotField>
  </pivotFields>
  <rowItems count="1">
    <i/>
  </rowItems>
  <colItems count="1">
    <i/>
  </colItems>
  <dataFields count="1">
    <dataField name="Average of discount" fld="5" subtotal="average" baseField="0" baseItem="0" numFmtId="2"/>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D62CFB-C292-4530-973A-12989795B32C}" name="PivotTable8"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S3:T6" firstHeaderRow="1" firstDataRow="1" firstDataCol="1"/>
  <pivotFields count="9">
    <pivotField showAll="0"/>
    <pivotField dataField="1" showAll="0"/>
    <pivotField showAll="0"/>
    <pivotField showAll="0"/>
    <pivotField showAll="0"/>
    <pivotField showAll="0"/>
    <pivotField showAll="0"/>
    <pivotField showAll="0"/>
    <pivotField axis="axisRow" showAll="0">
      <items count="4">
        <item x="2"/>
        <item x="0"/>
        <item x="1"/>
        <item t="default"/>
      </items>
    </pivotField>
  </pivotFields>
  <rowFields count="1">
    <field x="8"/>
  </rowFields>
  <rowItems count="3">
    <i>
      <x/>
    </i>
    <i>
      <x v="1"/>
    </i>
    <i>
      <x v="2"/>
    </i>
  </rowItems>
  <colItems count="1">
    <i/>
  </colItems>
  <dataFields count="1">
    <dataField name="Count of product_name" fld="1" subtotal="count" baseField="0" baseItem="0" numFmtId="1"/>
  </dataFields>
  <formats count="1">
    <format dxfId="96">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1"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F27502-3EE5-4627-9E24-F827CA3B51E7}" name="PivotTable3"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D3:E9" firstHeaderRow="1" firstDataRow="1" firstDataCol="1"/>
  <pivotFields count="9">
    <pivotField showAll="0"/>
    <pivotField axis="axisRow" showAll="0" measureFilter="1">
      <items count="1153">
        <item x="851"/>
        <item x="979"/>
        <item x="63"/>
        <item x="353"/>
        <item x="563"/>
        <item x="399"/>
        <item x="1142"/>
        <item x="170"/>
        <item x="99"/>
        <item x="159"/>
        <item x="8"/>
        <item x="83"/>
        <item x="80"/>
        <item x="55"/>
        <item x="126"/>
        <item x="160"/>
        <item x="220"/>
        <item x="200"/>
        <item x="146"/>
        <item x="1096"/>
        <item x="172"/>
        <item x="57"/>
        <item x="19"/>
        <item x="92"/>
        <item x="1"/>
        <item x="465"/>
        <item x="982"/>
        <item x="1114"/>
        <item x="853"/>
        <item x="919"/>
        <item x="860"/>
        <item x="939"/>
        <item x="256"/>
        <item x="141"/>
        <item x="1022"/>
        <item x="762"/>
        <item x="1094"/>
        <item x="1023"/>
        <item x="754"/>
        <item x="897"/>
        <item x="759"/>
        <item x="1071"/>
        <item x="1085"/>
        <item x="1119"/>
        <item x="800"/>
        <item x="222"/>
        <item x="501"/>
        <item x="478"/>
        <item x="566"/>
        <item x="178"/>
        <item x="70"/>
        <item x="13"/>
        <item x="229"/>
        <item x="941"/>
        <item x="882"/>
        <item x="962"/>
        <item x="661"/>
        <item x="208"/>
        <item x="767"/>
        <item x="149"/>
        <item x="369"/>
        <item x="785"/>
        <item x="1019"/>
        <item x="977"/>
        <item x="132"/>
        <item x="7"/>
        <item x="490"/>
        <item x="488"/>
        <item x="32"/>
        <item x="104"/>
        <item x="108"/>
        <item x="128"/>
        <item x="518"/>
        <item x="721"/>
        <item x="181"/>
        <item x="186"/>
        <item x="215"/>
        <item x="168"/>
        <item x="194"/>
        <item x="227"/>
        <item x="53"/>
        <item x="56"/>
        <item x="142"/>
        <item x="52"/>
        <item x="1025"/>
        <item x="84"/>
        <item x="192"/>
        <item x="1126"/>
        <item x="174"/>
        <item x="923"/>
        <item x="9"/>
        <item x="60"/>
        <item x="71"/>
        <item x="127"/>
        <item x="103"/>
        <item x="197"/>
        <item x="156"/>
        <item x="274"/>
        <item x="371"/>
        <item x="150"/>
        <item x="87"/>
        <item x="72"/>
        <item x="273"/>
        <item x="984"/>
        <item x="120"/>
        <item x="305"/>
        <item x="580"/>
        <item x="588"/>
        <item x="1008"/>
        <item x="520"/>
        <item x="586"/>
        <item x="1103"/>
        <item x="976"/>
        <item x="1012"/>
        <item x="901"/>
        <item x="683"/>
        <item x="183"/>
        <item x="135"/>
        <item x="842"/>
        <item x="847"/>
        <item x="995"/>
        <item x="872"/>
        <item x="801"/>
        <item x="900"/>
        <item x="798"/>
        <item x="734"/>
        <item x="773"/>
        <item x="870"/>
        <item x="1138"/>
        <item x="748"/>
        <item x="1028"/>
        <item x="743"/>
        <item x="1148"/>
        <item x="793"/>
        <item x="763"/>
        <item x="787"/>
        <item x="741"/>
        <item x="774"/>
        <item x="960"/>
        <item x="819"/>
        <item x="951"/>
        <item x="744"/>
        <item x="876"/>
        <item x="1100"/>
        <item x="727"/>
        <item x="739"/>
        <item x="799"/>
        <item x="915"/>
        <item x="723"/>
        <item x="113"/>
        <item x="681"/>
        <item x="145"/>
        <item x="213"/>
        <item x="714"/>
        <item x="1029"/>
        <item x="932"/>
        <item x="73"/>
        <item x="119"/>
        <item x="154"/>
        <item x="382"/>
        <item x="378"/>
        <item x="473"/>
        <item x="451"/>
        <item x="590"/>
        <item x="242"/>
        <item x="377"/>
        <item x="635"/>
        <item x="401"/>
        <item x="400"/>
        <item x="507"/>
        <item x="286"/>
        <item x="716"/>
        <item x="23"/>
        <item x="466"/>
        <item x="40"/>
        <item x="102"/>
        <item x="133"/>
        <item x="300"/>
        <item x="384"/>
        <item x="410"/>
        <item x="437"/>
        <item x="387"/>
        <item x="432"/>
        <item x="167"/>
        <item x="546"/>
        <item x="703"/>
        <item x="544"/>
        <item x="42"/>
        <item x="65"/>
        <item x="298"/>
        <item x="318"/>
        <item x="781"/>
        <item x="943"/>
        <item x="1150"/>
        <item x="1087"/>
        <item x="1128"/>
        <item x="1034"/>
        <item x="788"/>
        <item x="419"/>
        <item x="598"/>
        <item x="408"/>
        <item x="639"/>
        <item x="591"/>
        <item x="393"/>
        <item x="425"/>
        <item x="516"/>
        <item x="426"/>
        <item x="523"/>
        <item x="417"/>
        <item x="396"/>
        <item x="502"/>
        <item x="930"/>
        <item x="869"/>
        <item x="548"/>
        <item x="1080"/>
        <item x="789"/>
        <item x="772"/>
        <item x="779"/>
        <item x="1039"/>
        <item x="764"/>
        <item x="827"/>
        <item x="896"/>
        <item x="817"/>
        <item x="165"/>
        <item x="652"/>
        <item x="1086"/>
        <item x="115"/>
        <item x="486"/>
        <item x="614"/>
        <item x="628"/>
        <item x="692"/>
        <item x="708"/>
        <item x="1075"/>
        <item x="1088"/>
        <item x="1050"/>
        <item x="969"/>
        <item x="710"/>
        <item x="679"/>
        <item x="643"/>
        <item x="152"/>
        <item x="1098"/>
        <item x="709"/>
        <item x="427"/>
        <item x="411"/>
        <item x="668"/>
        <item x="487"/>
        <item x="981"/>
        <item x="1003"/>
        <item x="1093"/>
        <item x="477"/>
        <item x="705"/>
        <item x="682"/>
        <item x="532"/>
        <item x="620"/>
        <item x="619"/>
        <item x="398"/>
        <item x="666"/>
        <item x="583"/>
        <item x="551"/>
        <item x="448"/>
        <item x="459"/>
        <item x="837"/>
        <item x="118"/>
        <item x="43"/>
        <item x="873"/>
        <item x="601"/>
        <item x="844"/>
        <item x="157"/>
        <item x="735"/>
        <item x="39"/>
        <item x="966"/>
        <item x="780"/>
        <item x="1038"/>
        <item x="797"/>
        <item x="1120"/>
        <item x="975"/>
        <item x="833"/>
        <item x="1026"/>
        <item x="814"/>
        <item x="808"/>
        <item x="978"/>
        <item x="843"/>
        <item x="952"/>
        <item x="889"/>
        <item x="1035"/>
        <item x="36"/>
        <item x="550"/>
        <item x="711"/>
        <item x="519"/>
        <item x="129"/>
        <item x="998"/>
        <item x="175"/>
        <item x="549"/>
        <item x="177"/>
        <item x="31"/>
        <item x="394"/>
        <item x="395"/>
        <item x="402"/>
        <item x="418"/>
        <item x="985"/>
        <item x="457"/>
        <item x="665"/>
        <item x="531"/>
        <item x="413"/>
        <item x="569"/>
        <item x="603"/>
        <item x="937"/>
        <item x="258"/>
        <item x="508"/>
        <item x="636"/>
        <item x="627"/>
        <item x="110"/>
        <item x="474"/>
        <item x="450"/>
        <item x="572"/>
        <item x="74"/>
        <item x="397"/>
        <item x="463"/>
        <item x="713"/>
        <item x="534"/>
        <item x="376"/>
        <item x="1107"/>
        <item x="1127"/>
        <item x="685"/>
        <item x="526"/>
        <item x="993"/>
        <item x="81"/>
        <item x="45"/>
        <item x="153"/>
        <item x="374"/>
        <item x="306"/>
        <item x="247"/>
        <item x="313"/>
        <item x="1082"/>
        <item x="336"/>
        <item x="904"/>
        <item x="581"/>
        <item x="573"/>
        <item x="909"/>
        <item x="443"/>
        <item x="1054"/>
        <item x="545"/>
        <item x="926"/>
        <item x="640"/>
        <item x="230"/>
        <item x="946"/>
        <item x="1042"/>
        <item x="967"/>
        <item x="1131"/>
        <item x="864"/>
        <item x="794"/>
        <item x="852"/>
        <item x="420"/>
        <item x="497"/>
        <item x="218"/>
        <item x="645"/>
        <item x="868"/>
        <item x="570"/>
        <item x="914"/>
        <item x="267"/>
        <item x="496"/>
        <item x="361"/>
        <item x="254"/>
        <item x="565"/>
        <item x="596"/>
        <item x="373"/>
        <item x="193"/>
        <item x="98"/>
        <item x="6"/>
        <item x="96"/>
        <item x="162"/>
        <item x="327"/>
        <item x="112"/>
        <item x="17"/>
        <item x="364"/>
        <item x="694"/>
        <item x="460"/>
        <item x="1077"/>
        <item x="955"/>
        <item x="79"/>
        <item x="28"/>
        <item x="803"/>
        <item x="700"/>
        <item x="691"/>
        <item x="529"/>
        <item x="424"/>
        <item x="669"/>
        <item x="567"/>
        <item x="525"/>
        <item x="543"/>
        <item x="470"/>
        <item x="415"/>
        <item x="539"/>
        <item x="1106"/>
        <item x="724"/>
        <item x="282"/>
        <item x="1017"/>
        <item x="1043"/>
        <item x="1129"/>
        <item x="738"/>
        <item x="928"/>
        <item x="758"/>
        <item x="1064"/>
        <item x="1009"/>
        <item x="999"/>
        <item x="893"/>
        <item x="1058"/>
        <item x="753"/>
        <item x="858"/>
        <item x="920"/>
        <item x="1013"/>
        <item x="736"/>
        <item x="899"/>
        <item x="1149"/>
        <item x="1118"/>
        <item x="971"/>
        <item x="688"/>
        <item x="804"/>
        <item x="1021"/>
        <item x="786"/>
        <item x="877"/>
        <item x="1133"/>
        <item x="148"/>
        <item x="841"/>
        <item x="947"/>
        <item x="50"/>
        <item x="195"/>
        <item x="856"/>
        <item x="875"/>
        <item x="961"/>
        <item x="449"/>
        <item x="657"/>
        <item x="689"/>
        <item x="455"/>
        <item x="414"/>
        <item x="602"/>
        <item x="672"/>
        <item x="706"/>
        <item x="632"/>
        <item x="699"/>
        <item x="693"/>
        <item x="514"/>
        <item x="712"/>
        <item x="390"/>
        <item x="404"/>
        <item x="579"/>
        <item x="630"/>
        <item x="391"/>
        <item x="429"/>
        <item x="540"/>
        <item x="987"/>
        <item x="956"/>
        <item x="515"/>
        <item x="950"/>
        <item x="1110"/>
        <item x="1090"/>
        <item x="879"/>
        <item x="1113"/>
        <item x="972"/>
        <item x="1011"/>
        <item x="54"/>
        <item x="823"/>
        <item x="813"/>
        <item x="958"/>
        <item x="1135"/>
        <item x="684"/>
        <item x="1125"/>
        <item x="942"/>
        <item x="970"/>
        <item x="749"/>
        <item x="906"/>
        <item x="940"/>
        <item x="1030"/>
        <item x="1000"/>
        <item x="1010"/>
        <item x="973"/>
        <item x="922"/>
        <item x="719"/>
        <item x="500"/>
        <item x="611"/>
        <item x="1062"/>
        <item x="554"/>
        <item x="1016"/>
        <item x="829"/>
        <item x="834"/>
        <item x="986"/>
        <item x="701"/>
        <item x="1060"/>
        <item x="1051"/>
        <item x="1136"/>
        <item x="344"/>
        <item x="348"/>
        <item x="264"/>
        <item x="251"/>
        <item x="301"/>
        <item x="266"/>
        <item x="284"/>
        <item x="294"/>
        <item x="214"/>
        <item x="33"/>
        <item x="592"/>
        <item x="308"/>
        <item x="464"/>
        <item x="388"/>
        <item x="495"/>
        <item x="480"/>
        <item x="469"/>
        <item x="1049"/>
        <item x="891"/>
        <item x="489"/>
        <item x="106"/>
        <item x="1124"/>
        <item x="1047"/>
        <item x="1067"/>
        <item x="968"/>
        <item x="861"/>
        <item x="831"/>
        <item x="1101"/>
        <item x="740"/>
        <item x="782"/>
        <item x="903"/>
        <item x="863"/>
        <item x="965"/>
        <item x="874"/>
        <item x="994"/>
        <item x="1111"/>
        <item x="828"/>
        <item x="1046"/>
        <item x="996"/>
        <item x="46"/>
        <item x="571"/>
        <item x="1052"/>
        <item x="822"/>
        <item x="1137"/>
        <item x="857"/>
        <item x="913"/>
        <item x="600"/>
        <item x="1139"/>
        <item x="1061"/>
        <item x="209"/>
        <item x="198"/>
        <item x="191"/>
        <item x="1057"/>
        <item x="176"/>
        <item x="1079"/>
        <item x="990"/>
        <item x="890"/>
        <item x="1122"/>
        <item x="811"/>
        <item x="328"/>
        <item x="1112"/>
        <item x="359"/>
        <item x="47"/>
        <item x="575"/>
        <item x="594"/>
        <item x="528"/>
        <item x="389"/>
        <item x="173"/>
        <item x="24"/>
        <item x="624"/>
        <item x="1132"/>
        <item x="362"/>
        <item x="203"/>
        <item x="696"/>
        <item x="606"/>
        <item x="533"/>
        <item x="560"/>
        <item x="597"/>
        <item x="629"/>
        <item x="715"/>
        <item x="185"/>
        <item x="1041"/>
        <item x="61"/>
        <item x="187"/>
        <item x="41"/>
        <item x="1144"/>
        <item x="1105"/>
        <item x="921"/>
        <item x="745"/>
        <item x="770"/>
        <item x="742"/>
        <item x="1069"/>
        <item x="812"/>
        <item x="746"/>
        <item x="766"/>
        <item x="1078"/>
        <item x="840"/>
        <item x="1121"/>
        <item x="949"/>
        <item x="1108"/>
        <item x="815"/>
        <item x="845"/>
        <item x="988"/>
        <item x="475"/>
        <item x="380"/>
        <item x="536"/>
        <item x="622"/>
        <item x="676"/>
        <item x="456"/>
        <item x="678"/>
        <item x="561"/>
        <item x="447"/>
        <item x="483"/>
        <item x="613"/>
        <item x="506"/>
        <item x="485"/>
        <item x="568"/>
        <item x="585"/>
        <item x="144"/>
        <item x="27"/>
        <item x="109"/>
        <item x="88"/>
        <item x="179"/>
        <item x="1083"/>
        <item x="1031"/>
        <item x="64"/>
        <item x="68"/>
        <item x="599"/>
        <item x="207"/>
        <item x="820"/>
        <item x="219"/>
        <item x="521"/>
        <item x="1063"/>
        <item x="796"/>
        <item x="964"/>
        <item x="1091"/>
        <item x="541"/>
        <item x="980"/>
        <item x="440"/>
        <item x="182"/>
        <item x="289"/>
        <item x="246"/>
        <item x="245"/>
        <item x="4"/>
        <item x="311"/>
        <item x="231"/>
        <item x="59"/>
        <item x="295"/>
        <item x="637"/>
        <item x="223"/>
        <item x="865"/>
        <item x="233"/>
        <item x="360"/>
        <item x="1117"/>
        <item x="279"/>
        <item x="78"/>
        <item x="1014"/>
        <item x="806"/>
        <item x="878"/>
        <item x="370"/>
        <item x="14"/>
        <item x="1109"/>
        <item x="954"/>
        <item x="1005"/>
        <item x="886"/>
        <item x="948"/>
        <item x="737"/>
        <item x="297"/>
        <item x="974"/>
        <item x="963"/>
        <item x="322"/>
        <item x="123"/>
        <item x="324"/>
        <item x="1048"/>
        <item x="1145"/>
        <item x="1002"/>
        <item x="206"/>
        <item x="1146"/>
        <item x="326"/>
        <item x="462"/>
        <item x="527"/>
        <item x="479"/>
        <item x="492"/>
        <item x="312"/>
        <item x="368"/>
        <item x="356"/>
        <item x="593"/>
        <item x="342"/>
        <item x="633"/>
        <item x="321"/>
        <item x="476"/>
        <item x="351"/>
        <item x="290"/>
        <item x="275"/>
        <item x="341"/>
        <item x="345"/>
        <item x="756"/>
        <item x="430"/>
        <item x="704"/>
        <item x="564"/>
        <item x="22"/>
        <item x="272"/>
        <item x="340"/>
        <item x="3"/>
        <item x="130"/>
        <item x="226"/>
        <item x="2"/>
        <item x="236"/>
        <item x="235"/>
        <item x="325"/>
        <item x="335"/>
        <item x="296"/>
        <item x="261"/>
        <item x="292"/>
        <item x="892"/>
        <item x="675"/>
        <item x="791"/>
        <item x="1037"/>
        <item x="769"/>
        <item x="1020"/>
        <item x="802"/>
        <item x="732"/>
        <item x="1055"/>
        <item x="439"/>
        <item x="677"/>
        <item x="1015"/>
        <item x="511"/>
        <item x="707"/>
        <item x="607"/>
        <item x="504"/>
        <item x="670"/>
        <item x="641"/>
        <item x="695"/>
        <item x="584"/>
        <item x="933"/>
        <item x="908"/>
        <item x="927"/>
        <item x="925"/>
        <item x="807"/>
        <item x="805"/>
        <item x="1130"/>
        <item x="959"/>
        <item x="929"/>
        <item x="757"/>
        <item x="771"/>
        <item x="752"/>
        <item x="898"/>
        <item x="887"/>
        <item x="775"/>
        <item x="1073"/>
        <item x="1143"/>
        <item x="989"/>
        <item x="854"/>
        <item x="810"/>
        <item x="835"/>
        <item x="760"/>
        <item x="912"/>
        <item x="894"/>
        <item x="422"/>
        <item x="755"/>
        <item x="818"/>
        <item x="761"/>
        <item x="848"/>
        <item x="729"/>
        <item x="795"/>
        <item x="751"/>
        <item x="816"/>
        <item x="725"/>
        <item x="1033"/>
        <item x="697"/>
        <item x="589"/>
        <item x="86"/>
        <item x="367"/>
        <item x="350"/>
        <item x="363"/>
        <item x="352"/>
        <item x="122"/>
        <item x="846"/>
        <item x="1123"/>
        <item x="265"/>
        <item x="299"/>
        <item x="316"/>
        <item x="615"/>
        <item x="136"/>
        <item x="44"/>
        <item x="48"/>
        <item x="287"/>
        <item x="537"/>
        <item x="499"/>
        <item x="552"/>
        <item x="576"/>
        <item x="664"/>
        <item x="547"/>
        <item x="392"/>
        <item x="131"/>
        <item x="825"/>
        <item x="991"/>
        <item x="726"/>
        <item x="953"/>
        <item x="1147"/>
        <item x="728"/>
        <item x="824"/>
        <item x="783"/>
        <item x="1102"/>
        <item x="859"/>
        <item x="750"/>
        <item x="730"/>
        <item x="838"/>
        <item x="1089"/>
        <item x="1032"/>
        <item x="768"/>
        <item x="792"/>
        <item x="867"/>
        <item x="936"/>
        <item x="1104"/>
        <item x="733"/>
        <item x="582"/>
        <item x="201"/>
        <item x="365"/>
        <item x="1004"/>
        <item x="221"/>
        <item x="270"/>
        <item x="315"/>
        <item x="62"/>
        <item x="155"/>
        <item x="38"/>
        <item x="276"/>
        <item x="240"/>
        <item x="317"/>
        <item x="445"/>
        <item x="513"/>
        <item x="626"/>
        <item x="747"/>
        <item x="1040"/>
        <item x="1053"/>
        <item x="1059"/>
        <item x="658"/>
        <item x="90"/>
        <item x="263"/>
        <item x="649"/>
        <item x="259"/>
        <item x="288"/>
        <item x="171"/>
        <item x="494"/>
        <item x="659"/>
        <item x="680"/>
        <item x="559"/>
        <item x="482"/>
        <item x="15"/>
        <item x="241"/>
        <item x="255"/>
        <item x="257"/>
        <item x="314"/>
        <item x="330"/>
        <item x="51"/>
        <item x="252"/>
        <item x="304"/>
        <item x="253"/>
        <item x="237"/>
        <item x="234"/>
        <item x="238"/>
        <item x="357"/>
        <item x="280"/>
        <item x="285"/>
        <item x="323"/>
        <item x="320"/>
        <item x="339"/>
        <item x="631"/>
        <item x="225"/>
        <item x="850"/>
        <item x="138"/>
        <item x="49"/>
        <item x="562"/>
        <item x="945"/>
        <item x="895"/>
        <item x="651"/>
        <item x="663"/>
        <item x="612"/>
        <item x="481"/>
        <item x="776"/>
        <item x="1001"/>
        <item x="902"/>
        <item x="604"/>
        <item x="648"/>
        <item x="454"/>
        <item x="140"/>
        <item x="836"/>
        <item x="1027"/>
        <item x="58"/>
        <item x="1056"/>
        <item x="1044"/>
        <item x="647"/>
        <item x="20"/>
        <item x="180"/>
        <item x="644"/>
        <item x="248"/>
        <item x="77"/>
        <item x="302"/>
        <item x="277"/>
        <item x="269"/>
        <item x="239"/>
        <item x="244"/>
        <item x="271"/>
        <item x="278"/>
        <item x="291"/>
        <item x="309"/>
        <item x="375"/>
        <item x="319"/>
        <item x="250"/>
        <item x="249"/>
        <item x="347"/>
        <item x="366"/>
        <item x="461"/>
        <item x="262"/>
        <item x="331"/>
        <item x="653"/>
        <item x="379"/>
        <item x="498"/>
        <item x="595"/>
        <item x="416"/>
        <item x="510"/>
        <item x="471"/>
        <item x="441"/>
        <item x="453"/>
        <item x="409"/>
        <item x="343"/>
        <item x="530"/>
        <item x="243"/>
        <item x="143"/>
        <item x="211"/>
        <item x="667"/>
        <item x="403"/>
        <item x="555"/>
        <item x="687"/>
        <item x="1092"/>
        <item x="983"/>
        <item x="217"/>
        <item x="731"/>
        <item x="349"/>
        <item x="642"/>
        <item x="784"/>
        <item x="1036"/>
        <item x="95"/>
        <item x="383"/>
        <item x="862"/>
        <item x="18"/>
        <item x="674"/>
        <item x="199"/>
        <item x="765"/>
        <item x="1018"/>
        <item x="139"/>
        <item x="158"/>
        <item x="100"/>
        <item x="608"/>
        <item x="334"/>
        <item x="346"/>
        <item x="293"/>
        <item x="358"/>
        <item x="381"/>
        <item x="161"/>
        <item x="190"/>
        <item x="116"/>
        <item x="101"/>
        <item x="232"/>
        <item x="329"/>
        <item x="385"/>
        <item x="505"/>
        <item x="446"/>
        <item x="423"/>
        <item x="332"/>
        <item x="268"/>
        <item x="517"/>
        <item x="372"/>
        <item x="722"/>
        <item x="924"/>
        <item x="1045"/>
        <item x="1068"/>
        <item x="1115"/>
        <item x="934"/>
        <item x="1084"/>
        <item x="1097"/>
        <item x="616"/>
        <item x="935"/>
        <item x="163"/>
        <item x="303"/>
        <item x="718"/>
        <item x="839"/>
        <item x="916"/>
        <item x="94"/>
        <item x="228"/>
        <item x="216"/>
        <item x="212"/>
        <item x="1134"/>
        <item x="407"/>
        <item x="1081"/>
        <item x="662"/>
        <item x="542"/>
        <item x="512"/>
        <item x="188"/>
        <item x="137"/>
        <item x="11"/>
        <item x="124"/>
        <item x="866"/>
        <item x="25"/>
        <item x="224"/>
        <item x="121"/>
        <item x="205"/>
        <item x="337"/>
        <item x="307"/>
        <item x="938"/>
        <item x="1065"/>
        <item x="826"/>
        <item x="1076"/>
        <item x="114"/>
        <item x="204"/>
        <item x="442"/>
        <item x="354"/>
        <item x="957"/>
        <item x="880"/>
        <item x="184"/>
        <item x="671"/>
        <item x="67"/>
        <item x="91"/>
        <item x="503"/>
        <item x="412"/>
        <item x="431"/>
        <item x="484"/>
        <item x="69"/>
        <item x="472"/>
        <item x="458"/>
        <item x="702"/>
        <item x="29"/>
        <item x="655"/>
        <item x="452"/>
        <item x="0"/>
        <item x="12"/>
        <item x="1070"/>
        <item x="196"/>
        <item x="310"/>
        <item x="690"/>
        <item x="610"/>
        <item x="621"/>
        <item x="557"/>
        <item x="650"/>
        <item x="428"/>
        <item x="117"/>
        <item x="625"/>
        <item x="338"/>
        <item x="355"/>
        <item x="281"/>
        <item x="1141"/>
        <item x="778"/>
        <item x="992"/>
        <item x="849"/>
        <item x="830"/>
        <item x="1074"/>
        <item x="910"/>
        <item x="1140"/>
        <item x="809"/>
        <item x="918"/>
        <item x="931"/>
        <item x="720"/>
        <item x="997"/>
        <item x="883"/>
        <item x="1072"/>
        <item x="888"/>
        <item x="871"/>
        <item x="577"/>
        <item x="881"/>
        <item x="1099"/>
        <item x="855"/>
        <item x="790"/>
        <item x="907"/>
        <item x="189"/>
        <item x="75"/>
        <item x="37"/>
        <item x="164"/>
        <item x="107"/>
        <item x="10"/>
        <item x="605"/>
        <item x="202"/>
        <item x="147"/>
        <item x="21"/>
        <item x="35"/>
        <item x="5"/>
        <item x="89"/>
        <item x="34"/>
        <item x="134"/>
        <item x="169"/>
        <item x="85"/>
        <item x="30"/>
        <item x="660"/>
        <item x="105"/>
        <item x="16"/>
        <item x="93"/>
        <item x="166"/>
        <item x="151"/>
        <item x="333"/>
        <item x="260"/>
        <item x="283"/>
        <item x="656"/>
        <item x="524"/>
        <item x="558"/>
        <item x="535"/>
        <item x="618"/>
        <item x="832"/>
        <item x="885"/>
        <item x="1024"/>
        <item x="821"/>
        <item x="1006"/>
        <item x="905"/>
        <item x="1116"/>
        <item x="911"/>
        <item x="944"/>
        <item x="1095"/>
        <item x="884"/>
        <item x="777"/>
        <item x="125"/>
        <item x="673"/>
        <item x="433"/>
        <item x="686"/>
        <item x="698"/>
        <item x="717"/>
        <item x="111"/>
        <item x="82"/>
        <item x="468"/>
        <item x="493"/>
        <item x="578"/>
        <item x="638"/>
        <item x="491"/>
        <item x="438"/>
        <item x="386"/>
        <item x="574"/>
        <item x="436"/>
        <item x="406"/>
        <item x="467"/>
        <item x="405"/>
        <item x="553"/>
        <item x="556"/>
        <item x="522"/>
        <item x="634"/>
        <item x="435"/>
        <item x="587"/>
        <item x="617"/>
        <item x="444"/>
        <item x="509"/>
        <item x="421"/>
        <item x="26"/>
        <item x="623"/>
        <item x="654"/>
        <item x="609"/>
        <item x="1066"/>
        <item x="538"/>
        <item x="646"/>
        <item x="434"/>
        <item x="210"/>
        <item x="66"/>
        <item x="97"/>
        <item x="76"/>
        <item x="1007"/>
        <item x="917"/>
        <item m="1" x="1151"/>
        <item t="default"/>
      </items>
    </pivotField>
    <pivotField showAll="0"/>
    <pivotField showAll="0"/>
    <pivotField showAll="0"/>
    <pivotField showAll="0"/>
    <pivotField showAll="0"/>
    <pivotField dataField="1" showAll="0"/>
    <pivotField showAll="0">
      <items count="4">
        <item x="2"/>
        <item x="0"/>
        <item x="1"/>
        <item t="default"/>
      </items>
    </pivotField>
  </pivotFields>
  <rowFields count="1">
    <field x="1"/>
  </rowFields>
  <rowItems count="6">
    <i>
      <x v="65"/>
    </i>
    <i>
      <x v="164"/>
    </i>
    <i>
      <x v="165"/>
    </i>
    <i>
      <x v="845"/>
    </i>
    <i>
      <x v="846"/>
    </i>
    <i>
      <x v="847"/>
    </i>
  </rowItems>
  <colItems count="1">
    <i/>
  </colItems>
  <dataFields count="1">
    <dataField name="Sum of rating_count" fld="7" baseField="1" baseItem="3"/>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A2B64F-5033-4165-B115-5D355FD622C1}"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9">
    <pivotField showAll="0"/>
    <pivotField showAll="0"/>
    <pivotField axis="axisRow" showAll="0">
      <items count="10">
        <item x="7"/>
        <item x="0"/>
        <item x="1"/>
        <item x="8"/>
        <item x="4"/>
        <item x="5"/>
        <item x="2"/>
        <item x="3"/>
        <item x="6"/>
        <item t="default"/>
      </items>
    </pivotField>
    <pivotField showAll="0"/>
    <pivotField showAll="0"/>
    <pivotField showAll="0"/>
    <pivotField dataField="1" showAll="0"/>
    <pivotField showAll="0"/>
    <pivotField showAll="0">
      <items count="4">
        <item x="2"/>
        <item x="0"/>
        <item x="1"/>
        <item t="default"/>
      </items>
    </pivotField>
  </pivotFields>
  <rowFields count="1">
    <field x="2"/>
  </rowFields>
  <rowItems count="10">
    <i>
      <x/>
    </i>
    <i>
      <x v="1"/>
    </i>
    <i>
      <x v="2"/>
    </i>
    <i>
      <x v="3"/>
    </i>
    <i>
      <x v="4"/>
    </i>
    <i>
      <x v="5"/>
    </i>
    <i>
      <x v="6"/>
    </i>
    <i>
      <x v="7"/>
    </i>
    <i>
      <x v="8"/>
    </i>
    <i t="grand">
      <x/>
    </i>
  </rowItems>
  <colItems count="1">
    <i/>
  </colItems>
  <dataFields count="1">
    <dataField name="Average of rating" fld="6" subtotal="average" baseField="2" baseItem="0"/>
  </dataFields>
  <formats count="1">
    <format dxfId="102">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D830DC-E8B2-4237-B09E-C5054BF2A911}" name="PivotTable4"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G3:H12" firstHeaderRow="1" firstDataRow="1" firstDataCol="1"/>
  <pivotFields count="9">
    <pivotField showAll="0"/>
    <pivotField showAll="0"/>
    <pivotField axis="axisRow" showAll="0">
      <items count="10">
        <item x="7"/>
        <item x="0"/>
        <item x="1"/>
        <item x="8"/>
        <item x="4"/>
        <item x="5"/>
        <item x="2"/>
        <item x="3"/>
        <item x="6"/>
        <item t="default"/>
      </items>
    </pivotField>
    <pivotField showAll="0"/>
    <pivotField showAll="0"/>
    <pivotField dataField="1" showAll="0"/>
    <pivotField showAll="0"/>
    <pivotField showAll="0"/>
    <pivotField showAll="0">
      <items count="4">
        <item x="2"/>
        <item x="0"/>
        <item x="1"/>
        <item t="default"/>
      </items>
    </pivotField>
  </pivotFields>
  <rowFields count="1">
    <field x="2"/>
  </rowFields>
  <rowItems count="9">
    <i>
      <x/>
    </i>
    <i>
      <x v="1"/>
    </i>
    <i>
      <x v="2"/>
    </i>
    <i>
      <x v="3"/>
    </i>
    <i>
      <x v="4"/>
    </i>
    <i>
      <x v="5"/>
    </i>
    <i>
      <x v="6"/>
    </i>
    <i>
      <x v="7"/>
    </i>
    <i>
      <x v="8"/>
    </i>
  </rowItems>
  <colItems count="1">
    <i/>
  </colItems>
  <dataFields count="1">
    <dataField name="Average of discount" fld="5" subtotal="average" baseField="2" baseItem="0" numFmtId="164"/>
  </dataFields>
  <formats count="1">
    <format dxfId="103">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EE199A-476D-4A61-8F26-4B5BCAFB372E}" name="PivotTable5"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J3:K7" firstHeaderRow="1" firstDataRow="1" firstDataCol="1"/>
  <pivotFields count="9">
    <pivotField dataField="1" showAll="0"/>
    <pivotField showAll="0"/>
    <pivotField axis="axisRow" showAll="0" measureFilter="1">
      <items count="10">
        <item x="7"/>
        <item x="0"/>
        <item x="1"/>
        <item x="8"/>
        <item x="4"/>
        <item x="5"/>
        <item x="2"/>
        <item x="3"/>
        <item x="6"/>
        <item t="default"/>
      </items>
    </pivotField>
    <pivotField showAll="0"/>
    <pivotField showAll="0"/>
    <pivotField showAll="0"/>
    <pivotField showAll="0"/>
    <pivotField showAll="0"/>
    <pivotField showAll="0">
      <items count="4">
        <item x="2"/>
        <item x="0"/>
        <item x="1"/>
        <item t="default"/>
      </items>
    </pivotField>
  </pivotFields>
  <rowFields count="1">
    <field x="2"/>
  </rowFields>
  <rowItems count="4">
    <i>
      <x v="1"/>
    </i>
    <i>
      <x v="2"/>
    </i>
    <i>
      <x v="4"/>
    </i>
    <i>
      <x v="7"/>
    </i>
  </rowItems>
  <colItems count="1">
    <i/>
  </colItems>
  <dataFields count="1">
    <dataField name="Count of product_id" fld="0" subtotal="count" baseField="0" baseItem="0" numFmtId="1"/>
  </dataFields>
  <formats count="1">
    <format dxfId="104">
      <pivotArea outline="0" collapsedLevelsAreSubtotals="1" fieldPosition="0"/>
    </format>
  </formats>
  <chartFormats count="1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1"/>
          </reference>
        </references>
      </pivotArea>
    </chartFormat>
    <chartFormat chart="8" format="2">
      <pivotArea type="data" outline="0" fieldPosition="0">
        <references count="2">
          <reference field="4294967294" count="1" selected="0">
            <x v="0"/>
          </reference>
          <reference field="2" count="1" selected="0">
            <x v="2"/>
          </reference>
        </references>
      </pivotArea>
    </chartFormat>
    <chartFormat chart="8" format="3">
      <pivotArea type="data" outline="0" fieldPosition="0">
        <references count="2">
          <reference field="4294967294" count="1" selected="0">
            <x v="0"/>
          </reference>
          <reference field="2" count="1" selected="0">
            <x v="4"/>
          </reference>
        </references>
      </pivotArea>
    </chartFormat>
    <chartFormat chart="8" format="4">
      <pivotArea type="data" outline="0" fieldPosition="0">
        <references count="2">
          <reference field="4294967294" count="1" selected="0">
            <x v="0"/>
          </reference>
          <reference field="2" count="1" selected="0">
            <x v="5"/>
          </reference>
        </references>
      </pivotArea>
    </chartFormat>
    <chartFormat chart="8" format="5">
      <pivotArea type="data" outline="0" fieldPosition="0">
        <references count="2">
          <reference field="4294967294" count="1" selected="0">
            <x v="0"/>
          </reference>
          <reference field="2" count="1" selected="0">
            <x v="6"/>
          </reference>
        </references>
      </pivotArea>
    </chartFormat>
    <chartFormat chart="8" format="6">
      <pivotArea type="data" outline="0" fieldPosition="0">
        <references count="2">
          <reference field="4294967294" count="1" selected="0">
            <x v="0"/>
          </reference>
          <reference field="2" count="1" selected="0">
            <x v="7"/>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2" count="1" selected="0">
            <x v="1"/>
          </reference>
        </references>
      </pivotArea>
    </chartFormat>
    <chartFormat chart="11" format="16">
      <pivotArea type="data" outline="0" fieldPosition="0">
        <references count="2">
          <reference field="4294967294" count="1" selected="0">
            <x v="0"/>
          </reference>
          <reference field="2" count="1" selected="0">
            <x v="2"/>
          </reference>
        </references>
      </pivotArea>
    </chartFormat>
    <chartFormat chart="11" format="17">
      <pivotArea type="data" outline="0" fieldPosition="0">
        <references count="2">
          <reference field="4294967294" count="1" selected="0">
            <x v="0"/>
          </reference>
          <reference field="2" count="1" selected="0">
            <x v="4"/>
          </reference>
        </references>
      </pivotArea>
    </chartFormat>
    <chartFormat chart="11" format="18">
      <pivotArea type="data" outline="0" fieldPosition="0">
        <references count="2">
          <reference field="4294967294" count="1" selected="0">
            <x v="0"/>
          </reference>
          <reference field="2" count="1" selected="0">
            <x v="5"/>
          </reference>
        </references>
      </pivotArea>
    </chartFormat>
    <chartFormat chart="11" format="19">
      <pivotArea type="data" outline="0" fieldPosition="0">
        <references count="2">
          <reference field="4294967294" count="1" selected="0">
            <x v="0"/>
          </reference>
          <reference field="2" count="1" selected="0">
            <x v="6"/>
          </reference>
        </references>
      </pivotArea>
    </chartFormat>
    <chartFormat chart="11" format="20">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71C03C-A4BC-450C-8B17-D95C3E82887B}" name="PivotTable7"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P3:Q6" firstHeaderRow="1" firstDataRow="1" firstDataCol="1"/>
  <pivotFields count="9">
    <pivotField showAll="0"/>
    <pivotField dataField="1" showAll="0"/>
    <pivotField showAll="0"/>
    <pivotField showAll="0"/>
    <pivotField showAll="0"/>
    <pivotField showAll="0"/>
    <pivotField showAll="0"/>
    <pivotField showAll="0"/>
    <pivotField axis="axisRow" showAll="0">
      <items count="4">
        <item x="2"/>
        <item x="0"/>
        <item x="1"/>
        <item t="default"/>
      </items>
    </pivotField>
  </pivotFields>
  <rowFields count="1">
    <field x="8"/>
  </rowFields>
  <rowItems count="3">
    <i>
      <x/>
    </i>
    <i>
      <x v="1"/>
    </i>
    <i>
      <x v="2"/>
    </i>
  </rowItems>
  <colItems count="1">
    <i/>
  </colItems>
  <dataFields count="1">
    <dataField name="Count of product_name" fld="1" subtotal="count" baseField="0" baseItem="0" numFmtId="1"/>
  </dataFields>
  <formats count="1">
    <format dxfId="105">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1" format="5">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8" count="1" selected="0">
            <x v="2"/>
          </reference>
        </references>
      </pivotArea>
    </chartFormat>
    <chartFormat chart="13" format="14">
      <pivotArea type="data" outline="0" fieldPosition="0">
        <references count="2">
          <reference field="4294967294" count="1" selected="0">
            <x v="0"/>
          </reference>
          <reference field="8" count="1" selected="0">
            <x v="1"/>
          </reference>
        </references>
      </pivotArea>
    </chartFormat>
    <chartFormat chart="13" format="1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E5035F-A52B-4FEB-8699-7D0080FB88D3}" name="PivotTable6" cacheId="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M3:N12" firstHeaderRow="1" firstDataRow="1" firstDataCol="1"/>
  <pivotFields count="9">
    <pivotField showAll="0"/>
    <pivotField showAll="0"/>
    <pivotField axis="axisRow" showAll="0">
      <items count="10">
        <item x="7"/>
        <item x="0"/>
        <item x="1"/>
        <item x="8"/>
        <item x="4"/>
        <item x="5"/>
        <item x="2"/>
        <item x="3"/>
        <item x="6"/>
        <item t="default"/>
      </items>
    </pivotField>
    <pivotField showAll="0"/>
    <pivotField dataField="1" showAll="0"/>
    <pivotField showAll="0"/>
    <pivotField showAll="0"/>
    <pivotField showAll="0"/>
    <pivotField showAll="0">
      <items count="4">
        <item x="2"/>
        <item x="0"/>
        <item x="1"/>
        <item t="default"/>
      </items>
    </pivotField>
  </pivotFields>
  <rowFields count="1">
    <field x="2"/>
  </rowFields>
  <rowItems count="9">
    <i>
      <x/>
    </i>
    <i>
      <x v="1"/>
    </i>
    <i>
      <x v="2"/>
    </i>
    <i>
      <x v="3"/>
    </i>
    <i>
      <x v="4"/>
    </i>
    <i>
      <x v="5"/>
    </i>
    <i>
      <x v="6"/>
    </i>
    <i>
      <x v="7"/>
    </i>
    <i>
      <x v="8"/>
    </i>
  </rowItems>
  <colItems count="1">
    <i/>
  </colItems>
  <dataFields count="1">
    <dataField name="Average of actual_price" fld="4" subtotal="average" baseField="2" baseItem="2" numFmtId="1"/>
  </dataFields>
  <formats count="1">
    <format dxfId="106">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04547F9-FC48-4BD9-8558-A5E39C36F253}" autoFormatId="16" applyNumberFormats="0" applyBorderFormats="0" applyFontFormats="0" applyPatternFormats="0" applyAlignmentFormats="0" applyWidthHeightFormats="0">
  <queryTableRefresh nextId="11">
    <queryTableFields count="9">
      <queryTableField id="1" name="product_id" tableColumnId="9"/>
      <queryTableField id="2" name="product_name" tableColumnId="2"/>
      <queryTableField id="3" name="category" tableColumnId="3"/>
      <queryTableField id="4" name="discounted_price" tableColumnId="4"/>
      <queryTableField id="5" name="actual_price" tableColumnId="5"/>
      <queryTableField id="6" name="discount" tableColumnId="6"/>
      <queryTableField id="7" name="rating" tableColumnId="7"/>
      <queryTableField id="8" name="rating_count" tableColumnId="8"/>
      <queryTableField id="10" name="Custom"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C9485945-AE30-4499-9129-12BE2507C799}" sourceName="price_range">
  <pivotTables>
    <pivotTable tabId="11" name="PivotTable8"/>
    <pivotTable tabId="11" name="PivotTable2"/>
    <pivotTable tabId="11" name="PivotTable3"/>
    <pivotTable tabId="11" name="PivotTable4"/>
    <pivotTable tabId="11" name="PivotTable5"/>
    <pivotTable tabId="11" name="PivotTable6"/>
    <pivotTable tabId="11" name="PivotTable7"/>
    <pivotTable tabId="7" name="PivotTable1"/>
    <pivotTable tabId="7" name="PivotTable2"/>
    <pivotTable tabId="7" name="PivotTable3"/>
    <pivotTable tabId="7" name="PivotTable4"/>
    <pivotTable tabId="7" name="PivotTable5"/>
  </pivotTables>
  <data>
    <tabular pivotCacheId="31796701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range 1" xr10:uid="{2744AC74-91A4-4B9D-AF96-463BC2055338}" cache="Slicer_price_range" caption="price_range" columnCount="3" style="SlicerStyleLight1 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range" xr10:uid="{7AF1599D-AFC3-4BD9-BDC9-3220AE7FC2DE}" cache="Slicer_price_range" caption="price_range" columnCount="3" style="SlicerStyleLight1 2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C51975-6B27-4BB3-81EF-338F6DA9F13B}" name="amazon_final__4" displayName="amazon_final__4" ref="A1:I1152" tableType="queryTable" totalsRowShown="0">
  <autoFilter ref="A1:I1152" xr:uid="{26C51975-6B27-4BB3-81EF-338F6DA9F13B}"/>
  <tableColumns count="9">
    <tableColumn id="9" xr3:uid="{7A292880-E550-4ED2-A332-FCFDD6A7AE95}" uniqueName="9" name="product_id" queryTableFieldId="1" dataDxfId="101"/>
    <tableColumn id="2" xr3:uid="{03ACA15D-597D-4022-A41D-92EC247DFEBB}" uniqueName="2" name="product_name" queryTableFieldId="2" dataDxfId="100"/>
    <tableColumn id="3" xr3:uid="{823CC523-7E05-4E0C-89D5-1A252B306BEA}" uniqueName="3" name="category" queryTableFieldId="3" dataDxfId="99"/>
    <tableColumn id="4" xr3:uid="{BA1161F4-3EF4-46C2-A94A-39AFA713FEB4}" uniqueName="4" name="discounted_price" queryTableFieldId="4"/>
    <tableColumn id="5" xr3:uid="{C1750177-EE9F-4F70-B4E0-D2DD5086AE7B}" uniqueName="5" name="actual_price" queryTableFieldId="5" dataDxfId="98"/>
    <tableColumn id="6" xr3:uid="{22E66A9F-30AD-43FA-822D-B95CAB57AADB}" uniqueName="6" name="discount" queryTableFieldId="6"/>
    <tableColumn id="7" xr3:uid="{C965BAD2-884C-4949-91B0-7267E279A868}" uniqueName="7" name="rating" queryTableFieldId="7"/>
    <tableColumn id="8" xr3:uid="{8A5E52A0-6132-4E72-824A-DE0C6CE55927}" uniqueName="8" name="rating_count" queryTableFieldId="8" dataDxfId="97" dataCellStyle="Comma"/>
    <tableColumn id="10" xr3:uid="{76F6351C-299F-402F-83F9-888877BC6E86}" uniqueName="10" name="Custom" queryTableFieldId="10"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27E8C-C411-4A3A-AC78-77EAFB0477F9}">
  <dimension ref="A1"/>
  <sheetViews>
    <sheetView zoomScale="58" zoomScaleNormal="58" workbookViewId="0"/>
  </sheetViews>
  <sheetFormatPr defaultRowHeight="15" x14ac:dyDescent="0.25"/>
  <sheetData/>
  <sheetProtection algorithmName="SHA-512" hashValue="IS69M9mjhIkh1mIf1vmRgv4TvD8P70td0OdXZZsvTLhYiqqIzeQnXcA9JXKIu2Z+IXkrAbB6futwCL8aKVrN/g==" saltValue="VkX+7S5cnNly41wK5vlWIA==" spinCount="100000" sheet="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8E45-6453-49E7-A3E8-D785AF4F2597}">
  <dimension ref="A1"/>
  <sheetViews>
    <sheetView tabSelected="1" zoomScale="60" zoomScaleNormal="60" workbookViewId="0"/>
  </sheetViews>
  <sheetFormatPr defaultRowHeight="15" x14ac:dyDescent="0.25"/>
  <sheetData/>
  <sheetProtection algorithmName="SHA-512" hashValue="fiOtj7HeMVR2ZKN7GGDwoZLknSmYrGOqm5MgIU7CwmRCp5JCM8PvjHq7LUmh8xsl2GJ/Mj8H3pUnMi7j6jMCeA==" saltValue="X1pBteEXW902Iq64IWHcdA==" spinCount="100000" sheet="1" scenarios="1" pivotTables="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DB10-8DBD-4DD7-9FE6-4C29A21C9D87}">
  <dimension ref="A2:O1155"/>
  <sheetViews>
    <sheetView topLeftCell="B1" zoomScale="89" zoomScaleNormal="89" workbookViewId="0">
      <selection activeCell="H7" sqref="H7"/>
    </sheetView>
  </sheetViews>
  <sheetFormatPr defaultRowHeight="15" x14ac:dyDescent="0.25"/>
  <cols>
    <col min="1" max="1" width="127.140625" bestFit="1" customWidth="1"/>
    <col min="2" max="2" width="9.5703125" bestFit="1" customWidth="1"/>
    <col min="4" max="4" width="18.85546875" bestFit="1" customWidth="1"/>
    <col min="6" max="6" width="16.28515625" bestFit="1" customWidth="1"/>
    <col min="8" max="8" width="36.7109375" bestFit="1" customWidth="1"/>
    <col min="9" max="9" width="19" bestFit="1" customWidth="1"/>
    <col min="10" max="10" width="5.5703125" bestFit="1" customWidth="1"/>
    <col min="11" max="11" width="14.5703125" bestFit="1" customWidth="1"/>
    <col min="12" max="12" width="18.85546875" bestFit="1" customWidth="1"/>
    <col min="13" max="13" width="5.5703125" bestFit="1" customWidth="1"/>
    <col min="14" max="15" width="6.7109375" bestFit="1" customWidth="1"/>
    <col min="16" max="16" width="5.5703125" bestFit="1" customWidth="1"/>
    <col min="17" max="18" width="6.7109375" bestFit="1" customWidth="1"/>
    <col min="19" max="19" width="5.5703125" bestFit="1" customWidth="1"/>
    <col min="20" max="20" width="4.42578125" bestFit="1" customWidth="1"/>
    <col min="21" max="21" width="5.5703125" bestFit="1" customWidth="1"/>
    <col min="22" max="22" width="7.85546875" bestFit="1" customWidth="1"/>
    <col min="23" max="24" width="6.7109375" bestFit="1" customWidth="1"/>
    <col min="25" max="26" width="5.5703125" bestFit="1" customWidth="1"/>
    <col min="27" max="27" width="4.42578125" bestFit="1" customWidth="1"/>
    <col min="28" max="29" width="6.7109375" bestFit="1" customWidth="1"/>
    <col min="30" max="30" width="5.5703125" bestFit="1" customWidth="1"/>
    <col min="31" max="31" width="6.7109375" bestFit="1" customWidth="1"/>
    <col min="32" max="32" width="5.5703125" bestFit="1" customWidth="1"/>
    <col min="33" max="34" width="6.7109375" bestFit="1" customWidth="1"/>
    <col min="35" max="35" width="4.42578125" bestFit="1" customWidth="1"/>
    <col min="36" max="36" width="5.5703125" bestFit="1" customWidth="1"/>
    <col min="37" max="37" width="6.7109375" bestFit="1" customWidth="1"/>
    <col min="38" max="39" width="5.5703125" bestFit="1" customWidth="1"/>
    <col min="40" max="40" width="7.85546875" bestFit="1" customWidth="1"/>
    <col min="41" max="42" width="6.7109375" bestFit="1" customWidth="1"/>
    <col min="43" max="44" width="5.5703125" bestFit="1" customWidth="1"/>
    <col min="45" max="47" width="6.7109375" bestFit="1" customWidth="1"/>
    <col min="48" max="50" width="5.5703125" bestFit="1" customWidth="1"/>
    <col min="51" max="51" width="4.42578125" bestFit="1" customWidth="1"/>
    <col min="52" max="52" width="5.5703125" bestFit="1" customWidth="1"/>
    <col min="53" max="53" width="6.7109375" bestFit="1" customWidth="1"/>
    <col min="54" max="55" width="5.5703125" bestFit="1" customWidth="1"/>
    <col min="56" max="56" width="6.7109375" bestFit="1" customWidth="1"/>
    <col min="57" max="57" width="7.85546875" bestFit="1" customWidth="1"/>
    <col min="58" max="58" width="3.28515625" bestFit="1" customWidth="1"/>
    <col min="59" max="62" width="6.7109375" bestFit="1" customWidth="1"/>
    <col min="63" max="63" width="5.5703125" bestFit="1" customWidth="1"/>
    <col min="64" max="64" width="6.7109375" bestFit="1" customWidth="1"/>
    <col min="65" max="65" width="5.5703125" bestFit="1" customWidth="1"/>
    <col min="66" max="66" width="4.42578125" bestFit="1" customWidth="1"/>
    <col min="67" max="68" width="6.7109375" bestFit="1" customWidth="1"/>
    <col min="69" max="69" width="5.5703125" bestFit="1" customWidth="1"/>
    <col min="70" max="70" width="6.7109375" bestFit="1" customWidth="1"/>
    <col min="71" max="71" width="4.42578125" bestFit="1" customWidth="1"/>
    <col min="72" max="72" width="6.7109375" bestFit="1" customWidth="1"/>
    <col min="73" max="73" width="5.5703125" bestFit="1" customWidth="1"/>
    <col min="74" max="75" width="6.7109375" bestFit="1" customWidth="1"/>
    <col min="76" max="76" width="5.5703125" bestFit="1" customWidth="1"/>
    <col min="77" max="77" width="4.42578125" bestFit="1" customWidth="1"/>
    <col min="78" max="80" width="6.7109375" bestFit="1" customWidth="1"/>
    <col min="81" max="81" width="5.5703125" bestFit="1" customWidth="1"/>
    <col min="82" max="83" width="6.7109375" bestFit="1" customWidth="1"/>
    <col min="84" max="85" width="5.5703125" bestFit="1" customWidth="1"/>
    <col min="86" max="87" width="6.7109375" bestFit="1" customWidth="1"/>
    <col min="88" max="88" width="4.42578125" bestFit="1" customWidth="1"/>
    <col min="89" max="89" width="5.5703125" bestFit="1" customWidth="1"/>
    <col min="90" max="90" width="6.7109375" bestFit="1" customWidth="1"/>
    <col min="91" max="91" width="5.5703125" bestFit="1" customWidth="1"/>
    <col min="92" max="92" width="6.7109375" bestFit="1" customWidth="1"/>
    <col min="93" max="93" width="7.85546875" bestFit="1" customWidth="1"/>
    <col min="94" max="94" width="6.7109375" bestFit="1" customWidth="1"/>
    <col min="95" max="95" width="3.28515625" bestFit="1" customWidth="1"/>
    <col min="96" max="97" width="5.5703125" bestFit="1" customWidth="1"/>
    <col min="98" max="98" width="6.7109375" bestFit="1" customWidth="1"/>
    <col min="99" max="99" width="4.42578125" bestFit="1" customWidth="1"/>
    <col min="100" max="102" width="6.7109375" bestFit="1" customWidth="1"/>
    <col min="103" max="103" width="7.85546875" bestFit="1" customWidth="1"/>
    <col min="104" max="105" width="5.5703125" bestFit="1" customWidth="1"/>
    <col min="106" max="106" width="6.7109375" bestFit="1" customWidth="1"/>
    <col min="107" max="107" width="4.42578125" bestFit="1" customWidth="1"/>
    <col min="108" max="108" width="5.5703125" bestFit="1" customWidth="1"/>
    <col min="109" max="109" width="6.7109375" bestFit="1" customWidth="1"/>
    <col min="110" max="110" width="4.42578125" bestFit="1" customWidth="1"/>
    <col min="111" max="111" width="5.5703125" bestFit="1" customWidth="1"/>
    <col min="112" max="112" width="6.7109375" bestFit="1" customWidth="1"/>
    <col min="113" max="114" width="5.5703125" bestFit="1" customWidth="1"/>
    <col min="115" max="115" width="6.7109375" bestFit="1" customWidth="1"/>
    <col min="116" max="116" width="5.5703125" bestFit="1" customWidth="1"/>
    <col min="117" max="117" width="7.85546875" bestFit="1" customWidth="1"/>
    <col min="118" max="119" width="6.7109375" bestFit="1" customWidth="1"/>
    <col min="120" max="120" width="4.42578125" bestFit="1" customWidth="1"/>
    <col min="121" max="121" width="6.7109375" bestFit="1" customWidth="1"/>
    <col min="122" max="122" width="5.5703125" bestFit="1" customWidth="1"/>
    <col min="123" max="124" width="6.7109375" bestFit="1" customWidth="1"/>
    <col min="125" max="125" width="3.28515625" bestFit="1" customWidth="1"/>
    <col min="126" max="127" width="6.7109375" bestFit="1" customWidth="1"/>
    <col min="128" max="128" width="5.5703125" bestFit="1" customWidth="1"/>
    <col min="129" max="130" width="6.7109375" bestFit="1" customWidth="1"/>
    <col min="131" max="132" width="5.5703125" bestFit="1" customWidth="1"/>
    <col min="133" max="134" width="6.7109375" bestFit="1" customWidth="1"/>
    <col min="135" max="135" width="4.42578125" bestFit="1" customWidth="1"/>
    <col min="136" max="137" width="6.7109375" bestFit="1" customWidth="1"/>
    <col min="138" max="138" width="4.42578125" bestFit="1" customWidth="1"/>
    <col min="139" max="139" width="6.7109375" bestFit="1" customWidth="1"/>
    <col min="140" max="140" width="5.5703125" bestFit="1" customWidth="1"/>
    <col min="141" max="141" width="6.7109375" bestFit="1" customWidth="1"/>
    <col min="142" max="142" width="5.5703125" bestFit="1" customWidth="1"/>
    <col min="143" max="146" width="6.7109375" bestFit="1" customWidth="1"/>
    <col min="147" max="147" width="4.42578125" bestFit="1" customWidth="1"/>
    <col min="148" max="148" width="5.5703125" bestFit="1" customWidth="1"/>
    <col min="149" max="149" width="7.85546875" bestFit="1" customWidth="1"/>
    <col min="150" max="151" width="5.5703125" bestFit="1" customWidth="1"/>
    <col min="152" max="152" width="6.7109375" bestFit="1" customWidth="1"/>
    <col min="153" max="154" width="5.5703125" bestFit="1" customWidth="1"/>
    <col min="155" max="157" width="6.7109375" bestFit="1" customWidth="1"/>
    <col min="158" max="158" width="3.28515625" bestFit="1" customWidth="1"/>
    <col min="159" max="159" width="7.85546875" bestFit="1" customWidth="1"/>
    <col min="160" max="160" width="6.7109375" bestFit="1" customWidth="1"/>
    <col min="161" max="161" width="5.5703125" bestFit="1" customWidth="1"/>
    <col min="162" max="162" width="6.7109375" bestFit="1" customWidth="1"/>
    <col min="163" max="163" width="5.5703125" bestFit="1" customWidth="1"/>
    <col min="164" max="166" width="6.7109375" bestFit="1" customWidth="1"/>
    <col min="167" max="167" width="7.85546875" bestFit="1" customWidth="1"/>
    <col min="168" max="168" width="6.7109375" bestFit="1" customWidth="1"/>
    <col min="169" max="169" width="5.5703125" bestFit="1" customWidth="1"/>
    <col min="170" max="172" width="6.7109375" bestFit="1" customWidth="1"/>
    <col min="173" max="173" width="4.42578125" bestFit="1" customWidth="1"/>
    <col min="174" max="174" width="5.5703125" bestFit="1" customWidth="1"/>
    <col min="175" max="177" width="6.7109375" bestFit="1" customWidth="1"/>
    <col min="178" max="178" width="4.42578125" bestFit="1" customWidth="1"/>
    <col min="179" max="179" width="6.7109375" bestFit="1" customWidth="1"/>
    <col min="180" max="180" width="5.5703125" bestFit="1" customWidth="1"/>
    <col min="181" max="181" width="6.7109375" bestFit="1" customWidth="1"/>
    <col min="182" max="182" width="5.5703125" bestFit="1" customWidth="1"/>
    <col min="183" max="185" width="6.7109375" bestFit="1" customWidth="1"/>
    <col min="186" max="187" width="5.5703125" bestFit="1" customWidth="1"/>
    <col min="188" max="192" width="6.7109375" bestFit="1" customWidth="1"/>
    <col min="193" max="193" width="5.5703125" bestFit="1" customWidth="1"/>
    <col min="194" max="194" width="3.28515625" bestFit="1" customWidth="1"/>
    <col min="195" max="196" width="6.7109375" bestFit="1" customWidth="1"/>
    <col min="197" max="197" width="5.5703125" bestFit="1" customWidth="1"/>
    <col min="198" max="198" width="4.42578125" bestFit="1" customWidth="1"/>
    <col min="199" max="199" width="5.5703125" bestFit="1" customWidth="1"/>
    <col min="200" max="202" width="6.7109375" bestFit="1" customWidth="1"/>
    <col min="203" max="203" width="5.5703125" bestFit="1" customWidth="1"/>
    <col min="204" max="204" width="6.7109375" bestFit="1" customWidth="1"/>
    <col min="205" max="205" width="5.5703125" bestFit="1" customWidth="1"/>
    <col min="206" max="207" width="6.7109375" bestFit="1" customWidth="1"/>
    <col min="208" max="208" width="4.42578125" bestFit="1" customWidth="1"/>
    <col min="209" max="209" width="5.5703125" bestFit="1" customWidth="1"/>
    <col min="210" max="210" width="6.7109375" bestFit="1" customWidth="1"/>
    <col min="211" max="214" width="5.5703125" bestFit="1" customWidth="1"/>
    <col min="215" max="215" width="6.7109375" bestFit="1" customWidth="1"/>
    <col min="216" max="216" width="4.42578125" bestFit="1" customWidth="1"/>
    <col min="217" max="217" width="6.7109375" bestFit="1" customWidth="1"/>
    <col min="218" max="218" width="7.85546875" bestFit="1" customWidth="1"/>
    <col min="219" max="219" width="4.42578125" bestFit="1" customWidth="1"/>
    <col min="220" max="222" width="6.7109375" bestFit="1" customWidth="1"/>
    <col min="223" max="223" width="5.5703125" bestFit="1" customWidth="1"/>
    <col min="224" max="224" width="4.42578125" bestFit="1" customWidth="1"/>
    <col min="225" max="225" width="5.5703125" bestFit="1" customWidth="1"/>
    <col min="226" max="229" width="6.7109375" bestFit="1" customWidth="1"/>
    <col min="230" max="230" width="7.85546875" bestFit="1" customWidth="1"/>
    <col min="231" max="232" width="6.7109375" bestFit="1" customWidth="1"/>
    <col min="233" max="233" width="4.42578125" bestFit="1" customWidth="1"/>
    <col min="234" max="236" width="5.5703125" bestFit="1" customWidth="1"/>
    <col min="237" max="237" width="6.7109375" bestFit="1" customWidth="1"/>
    <col min="238" max="238" width="5.5703125" bestFit="1" customWidth="1"/>
    <col min="239" max="239" width="4.42578125" bestFit="1" customWidth="1"/>
    <col min="240" max="242" width="5.5703125" bestFit="1" customWidth="1"/>
    <col min="243" max="244" width="6.7109375" bestFit="1" customWidth="1"/>
    <col min="245" max="247" width="5.5703125" bestFit="1" customWidth="1"/>
    <col min="248" max="248" width="4.42578125" bestFit="1" customWidth="1"/>
    <col min="249" max="250" width="5.5703125" bestFit="1" customWidth="1"/>
    <col min="251" max="251" width="3.28515625" bestFit="1" customWidth="1"/>
    <col min="252" max="253" width="4.42578125" bestFit="1" customWidth="1"/>
    <col min="254" max="256" width="5.5703125" bestFit="1" customWidth="1"/>
    <col min="257" max="257" width="6.7109375" bestFit="1" customWidth="1"/>
    <col min="258" max="259" width="5.5703125" bestFit="1" customWidth="1"/>
    <col min="260" max="265" width="6.7109375" bestFit="1" customWidth="1"/>
    <col min="266" max="271" width="5.5703125" bestFit="1" customWidth="1"/>
    <col min="272" max="272" width="4.42578125" bestFit="1" customWidth="1"/>
    <col min="273" max="273" width="5.5703125" bestFit="1" customWidth="1"/>
    <col min="274" max="275" width="6.7109375" bestFit="1" customWidth="1"/>
    <col min="276" max="276" width="5.5703125" bestFit="1" customWidth="1"/>
    <col min="277" max="278" width="7.85546875" bestFit="1" customWidth="1"/>
    <col min="279" max="279" width="5.5703125" bestFit="1" customWidth="1"/>
    <col min="280" max="281" width="7.85546875" bestFit="1" customWidth="1"/>
    <col min="282" max="282" width="6.7109375" bestFit="1" customWidth="1"/>
    <col min="283" max="284" width="5.5703125" bestFit="1" customWidth="1"/>
    <col min="285" max="285" width="7.85546875" bestFit="1" customWidth="1"/>
    <col min="286" max="286" width="5.5703125" bestFit="1" customWidth="1"/>
    <col min="287" max="289" width="6.7109375" bestFit="1" customWidth="1"/>
    <col min="290" max="290" width="4.42578125" bestFit="1" customWidth="1"/>
    <col min="291" max="291" width="5.5703125" bestFit="1" customWidth="1"/>
    <col min="292" max="293" width="6.7109375" bestFit="1" customWidth="1"/>
    <col min="294" max="294" width="4.42578125" bestFit="1" customWidth="1"/>
    <col min="295" max="297" width="6.7109375" bestFit="1" customWidth="1"/>
    <col min="298" max="299" width="5.5703125" bestFit="1" customWidth="1"/>
    <col min="300" max="300" width="6.7109375" bestFit="1" customWidth="1"/>
    <col min="301" max="302" width="5.5703125" bestFit="1" customWidth="1"/>
    <col min="303" max="303" width="7.85546875" bestFit="1" customWidth="1"/>
    <col min="304" max="304" width="5.5703125" bestFit="1" customWidth="1"/>
    <col min="305" max="305" width="6.7109375" bestFit="1" customWidth="1"/>
    <col min="306" max="306" width="3.28515625" bestFit="1" customWidth="1"/>
    <col min="307" max="308" width="5.5703125" bestFit="1" customWidth="1"/>
    <col min="309" max="309" width="6.7109375" bestFit="1" customWidth="1"/>
    <col min="310" max="310" width="7.85546875" bestFit="1" customWidth="1"/>
    <col min="311" max="312" width="5.5703125" bestFit="1" customWidth="1"/>
    <col min="313" max="313" width="4.42578125" bestFit="1" customWidth="1"/>
    <col min="314" max="315" width="5.5703125" bestFit="1" customWidth="1"/>
    <col min="316" max="317" width="6.7109375" bestFit="1" customWidth="1"/>
    <col min="318" max="318" width="5.5703125" bestFit="1" customWidth="1"/>
    <col min="319" max="319" width="4.42578125" bestFit="1" customWidth="1"/>
    <col min="320" max="320" width="6.7109375" bestFit="1" customWidth="1"/>
    <col min="321" max="324" width="5.5703125" bestFit="1" customWidth="1"/>
    <col min="325" max="325" width="6.7109375" bestFit="1" customWidth="1"/>
    <col min="326" max="326" width="2.28515625" bestFit="1" customWidth="1"/>
    <col min="327" max="327" width="4.42578125" bestFit="1" customWidth="1"/>
    <col min="328" max="328" width="5.5703125" bestFit="1" customWidth="1"/>
    <col min="329" max="329" width="6.7109375" bestFit="1" customWidth="1"/>
    <col min="330" max="330" width="5.5703125" bestFit="1" customWidth="1"/>
    <col min="331" max="331" width="4.42578125" bestFit="1" customWidth="1"/>
    <col min="332" max="332" width="5.5703125" bestFit="1" customWidth="1"/>
    <col min="333" max="335" width="6.7109375" bestFit="1" customWidth="1"/>
    <col min="336" max="336" width="5.5703125" bestFit="1" customWidth="1"/>
    <col min="337" max="337" width="6.7109375" bestFit="1" customWidth="1"/>
    <col min="338" max="338" width="7.85546875" bestFit="1" customWidth="1"/>
    <col min="339" max="339" width="4.42578125" bestFit="1" customWidth="1"/>
    <col min="340" max="342" width="6.7109375" bestFit="1" customWidth="1"/>
    <col min="343" max="343" width="3.28515625" bestFit="1" customWidth="1"/>
    <col min="344" max="344" width="6.7109375" bestFit="1" customWidth="1"/>
    <col min="345" max="345" width="5.5703125" bestFit="1" customWidth="1"/>
    <col min="346" max="346" width="4.42578125" bestFit="1" customWidth="1"/>
    <col min="347" max="350" width="5.5703125" bestFit="1" customWidth="1"/>
    <col min="351" max="351" width="4.42578125" bestFit="1" customWidth="1"/>
    <col min="352" max="352" width="5.5703125" bestFit="1" customWidth="1"/>
    <col min="353" max="355" width="6.7109375" bestFit="1" customWidth="1"/>
    <col min="356" max="356" width="5.5703125" bestFit="1" customWidth="1"/>
    <col min="357" max="357" width="4.42578125" bestFit="1" customWidth="1"/>
    <col min="358" max="360" width="5.5703125" bestFit="1" customWidth="1"/>
    <col min="361" max="364" width="6.7109375" bestFit="1" customWidth="1"/>
    <col min="365" max="365" width="5.5703125" bestFit="1" customWidth="1"/>
    <col min="366" max="366" width="6.7109375" bestFit="1" customWidth="1"/>
    <col min="367" max="369" width="5.5703125" bestFit="1" customWidth="1"/>
    <col min="370" max="370" width="4.42578125" bestFit="1" customWidth="1"/>
    <col min="371" max="372" width="6.7109375" bestFit="1" customWidth="1"/>
    <col min="373" max="373" width="4.42578125" bestFit="1" customWidth="1"/>
    <col min="374" max="374" width="6.7109375" bestFit="1" customWidth="1"/>
    <col min="375" max="375" width="5.5703125" bestFit="1" customWidth="1"/>
    <col min="376" max="377" width="6.7109375" bestFit="1" customWidth="1"/>
    <col min="378" max="378" width="4.42578125" bestFit="1" customWidth="1"/>
    <col min="379" max="381" width="5.5703125" bestFit="1" customWidth="1"/>
    <col min="382" max="382" width="6.7109375" bestFit="1" customWidth="1"/>
    <col min="383" max="383" width="5.5703125" bestFit="1" customWidth="1"/>
    <col min="384" max="384" width="4.42578125" bestFit="1" customWidth="1"/>
    <col min="385" max="385" width="3.28515625" bestFit="1" customWidth="1"/>
    <col min="386" max="387" width="5.5703125" bestFit="1" customWidth="1"/>
    <col min="388" max="388" width="6.7109375" bestFit="1" customWidth="1"/>
    <col min="389" max="389" width="5.5703125" bestFit="1" customWidth="1"/>
    <col min="390" max="391" width="6.7109375" bestFit="1" customWidth="1"/>
    <col min="392" max="392" width="5.5703125" bestFit="1" customWidth="1"/>
    <col min="393" max="394" width="6.7109375" bestFit="1" customWidth="1"/>
    <col min="395" max="396" width="5.5703125" bestFit="1" customWidth="1"/>
    <col min="397" max="397" width="4.42578125" bestFit="1" customWidth="1"/>
    <col min="398" max="400" width="5.5703125" bestFit="1" customWidth="1"/>
    <col min="401" max="401" width="3.28515625" bestFit="1" customWidth="1"/>
    <col min="402" max="404" width="4.42578125" bestFit="1" customWidth="1"/>
    <col min="405" max="407" width="6.7109375" bestFit="1" customWidth="1"/>
    <col min="408" max="412" width="5.5703125" bestFit="1" customWidth="1"/>
    <col min="413" max="413" width="4.42578125" bestFit="1" customWidth="1"/>
    <col min="414" max="414" width="5.5703125" bestFit="1" customWidth="1"/>
    <col min="415" max="417" width="6.7109375" bestFit="1" customWidth="1"/>
    <col min="418" max="419" width="5.5703125" bestFit="1" customWidth="1"/>
    <col min="420" max="420" width="3.28515625" bestFit="1" customWidth="1"/>
    <col min="421" max="421" width="4.42578125" bestFit="1" customWidth="1"/>
    <col min="422" max="422" width="6.7109375" bestFit="1" customWidth="1"/>
    <col min="423" max="423" width="5.5703125" bestFit="1" customWidth="1"/>
    <col min="424" max="424" width="6.7109375" bestFit="1" customWidth="1"/>
    <col min="425" max="425" width="5.5703125" bestFit="1" customWidth="1"/>
    <col min="426" max="426" width="4.42578125" bestFit="1" customWidth="1"/>
    <col min="427" max="427" width="5.5703125" bestFit="1" customWidth="1"/>
    <col min="428" max="428" width="6.7109375" bestFit="1" customWidth="1"/>
    <col min="429" max="429" width="7.85546875" bestFit="1" customWidth="1"/>
    <col min="430" max="430" width="6.7109375" bestFit="1" customWidth="1"/>
    <col min="431" max="432" width="5.5703125" bestFit="1" customWidth="1"/>
    <col min="433" max="433" width="4.42578125" bestFit="1" customWidth="1"/>
    <col min="434" max="434" width="6.7109375" bestFit="1" customWidth="1"/>
    <col min="435" max="435" width="4.42578125" bestFit="1" customWidth="1"/>
    <col min="436" max="436" width="6.7109375" bestFit="1" customWidth="1"/>
    <col min="437" max="437" width="5.5703125" bestFit="1" customWidth="1"/>
    <col min="438" max="438" width="4.42578125" bestFit="1" customWidth="1"/>
    <col min="439" max="439" width="6.7109375" bestFit="1" customWidth="1"/>
    <col min="440" max="440" width="5.5703125" bestFit="1" customWidth="1"/>
    <col min="441" max="441" width="6.7109375" bestFit="1" customWidth="1"/>
    <col min="442" max="442" width="5.5703125" bestFit="1" customWidth="1"/>
    <col min="443" max="444" width="6.7109375" bestFit="1" customWidth="1"/>
    <col min="445" max="445" width="5.5703125" bestFit="1" customWidth="1"/>
    <col min="446" max="446" width="6.7109375" bestFit="1" customWidth="1"/>
    <col min="447" max="447" width="5.5703125" bestFit="1" customWidth="1"/>
    <col min="448" max="448" width="6.7109375" bestFit="1" customWidth="1"/>
    <col min="449" max="449" width="4.42578125" bestFit="1" customWidth="1"/>
    <col min="450" max="450" width="5.5703125" bestFit="1" customWidth="1"/>
    <col min="451" max="452" width="6.7109375" bestFit="1" customWidth="1"/>
    <col min="453" max="455" width="5.5703125" bestFit="1" customWidth="1"/>
    <col min="456" max="456" width="6.7109375" bestFit="1" customWidth="1"/>
    <col min="457" max="457" width="5.5703125" bestFit="1" customWidth="1"/>
    <col min="458" max="458" width="4.42578125" bestFit="1" customWidth="1"/>
    <col min="459" max="459" width="5.5703125" bestFit="1" customWidth="1"/>
    <col min="460" max="462" width="6.7109375" bestFit="1" customWidth="1"/>
    <col min="463" max="465" width="5.5703125" bestFit="1" customWidth="1"/>
    <col min="466" max="466" width="3.28515625" bestFit="1" customWidth="1"/>
    <col min="467" max="467" width="7.85546875" bestFit="1" customWidth="1"/>
    <col min="468" max="471" width="6.7109375" bestFit="1" customWidth="1"/>
    <col min="472" max="472" width="5.5703125" bestFit="1" customWidth="1"/>
    <col min="473" max="473" width="7.85546875" bestFit="1" customWidth="1"/>
    <col min="474" max="476" width="5.5703125" bestFit="1" customWidth="1"/>
    <col min="477" max="478" width="6.7109375" bestFit="1" customWidth="1"/>
    <col min="479" max="479" width="5.5703125" bestFit="1" customWidth="1"/>
    <col min="480" max="480" width="4.42578125" bestFit="1" customWidth="1"/>
    <col min="481" max="481" width="6.7109375" bestFit="1" customWidth="1"/>
    <col min="482" max="482" width="5.5703125" bestFit="1" customWidth="1"/>
    <col min="483" max="483" width="3.28515625" bestFit="1" customWidth="1"/>
    <col min="484" max="484" width="6.7109375" bestFit="1" customWidth="1"/>
    <col min="485" max="488" width="5.5703125" bestFit="1" customWidth="1"/>
    <col min="489" max="489" width="4.42578125" bestFit="1" customWidth="1"/>
    <col min="490" max="490" width="5.5703125" bestFit="1" customWidth="1"/>
    <col min="491" max="491" width="6.7109375" bestFit="1" customWidth="1"/>
    <col min="492" max="493" width="4.42578125" bestFit="1" customWidth="1"/>
    <col min="494" max="495" width="6.7109375" bestFit="1" customWidth="1"/>
    <col min="496" max="497" width="5.5703125" bestFit="1" customWidth="1"/>
    <col min="498" max="498" width="4.42578125" bestFit="1" customWidth="1"/>
    <col min="499" max="499" width="5.5703125" bestFit="1" customWidth="1"/>
    <col min="500" max="501" width="6.7109375" bestFit="1" customWidth="1"/>
    <col min="502" max="503" width="5.5703125" bestFit="1" customWidth="1"/>
    <col min="504" max="504" width="6.7109375" bestFit="1" customWidth="1"/>
    <col min="505" max="505" width="3.28515625" bestFit="1" customWidth="1"/>
    <col min="506" max="506" width="4.42578125" bestFit="1" customWidth="1"/>
    <col min="507" max="508" width="5.5703125" bestFit="1" customWidth="1"/>
    <col min="509" max="510" width="4.42578125" bestFit="1" customWidth="1"/>
    <col min="511" max="512" width="5.5703125" bestFit="1" customWidth="1"/>
    <col min="513" max="513" width="4.42578125" bestFit="1" customWidth="1"/>
    <col min="514" max="515" width="5.5703125" bestFit="1" customWidth="1"/>
    <col min="516" max="516" width="4.42578125" bestFit="1" customWidth="1"/>
    <col min="517" max="517" width="6.7109375" bestFit="1" customWidth="1"/>
    <col min="518" max="518" width="5.5703125" bestFit="1" customWidth="1"/>
    <col min="519" max="520" width="6.7109375" bestFit="1" customWidth="1"/>
    <col min="521" max="522" width="5.5703125" bestFit="1" customWidth="1"/>
    <col min="523" max="523" width="6.7109375" bestFit="1" customWidth="1"/>
    <col min="524" max="524" width="5.5703125" bestFit="1" customWidth="1"/>
    <col min="525" max="525" width="4.42578125" bestFit="1" customWidth="1"/>
    <col min="526" max="527" width="6.7109375" bestFit="1" customWidth="1"/>
    <col min="528" max="528" width="5.5703125" bestFit="1" customWidth="1"/>
    <col min="529" max="529" width="6.7109375" bestFit="1" customWidth="1"/>
    <col min="530" max="530" width="5.5703125" bestFit="1" customWidth="1"/>
    <col min="531" max="531" width="4.42578125" bestFit="1" customWidth="1"/>
    <col min="532" max="535" width="5.5703125" bestFit="1" customWidth="1"/>
    <col min="536" max="536" width="6.7109375" bestFit="1" customWidth="1"/>
    <col min="537" max="538" width="5.5703125" bestFit="1" customWidth="1"/>
    <col min="539" max="540" width="4.42578125" bestFit="1" customWidth="1"/>
    <col min="541" max="541" width="6.7109375" bestFit="1" customWidth="1"/>
    <col min="542" max="543" width="7.85546875" bestFit="1" customWidth="1"/>
    <col min="544" max="544" width="6.7109375" bestFit="1" customWidth="1"/>
    <col min="545" max="545" width="4.42578125" bestFit="1" customWidth="1"/>
    <col min="546" max="546" width="5.5703125" bestFit="1" customWidth="1"/>
    <col min="547" max="548" width="6.7109375" bestFit="1" customWidth="1"/>
    <col min="549" max="549" width="5.5703125" bestFit="1" customWidth="1"/>
    <col min="550" max="550" width="6.7109375" bestFit="1" customWidth="1"/>
    <col min="551" max="551" width="5.5703125" bestFit="1" customWidth="1"/>
    <col min="552" max="552" width="6.7109375" bestFit="1" customWidth="1"/>
    <col min="553" max="553" width="5.5703125" bestFit="1" customWidth="1"/>
    <col min="554" max="554" width="6.7109375" bestFit="1" customWidth="1"/>
    <col min="555" max="559" width="5.5703125" bestFit="1" customWidth="1"/>
    <col min="560" max="561" width="4.42578125" bestFit="1" customWidth="1"/>
    <col min="562" max="566" width="5.5703125" bestFit="1" customWidth="1"/>
    <col min="567" max="567" width="4.42578125" bestFit="1" customWidth="1"/>
    <col min="568" max="568" width="5.5703125" bestFit="1" customWidth="1"/>
    <col min="569" max="571" width="6.7109375" bestFit="1" customWidth="1"/>
    <col min="572" max="572" width="5.5703125" bestFit="1" customWidth="1"/>
    <col min="573" max="573" width="4.42578125" bestFit="1" customWidth="1"/>
    <col min="574" max="574" width="5.5703125" bestFit="1" customWidth="1"/>
    <col min="575" max="576" width="6.7109375" bestFit="1" customWidth="1"/>
    <col min="577" max="577" width="5.5703125" bestFit="1" customWidth="1"/>
    <col min="578" max="578" width="6.7109375" bestFit="1" customWidth="1"/>
    <col min="579" max="580" width="5.5703125" bestFit="1" customWidth="1"/>
    <col min="581" max="582" width="6.7109375" bestFit="1" customWidth="1"/>
    <col min="583" max="583" width="4.42578125" bestFit="1" customWidth="1"/>
    <col min="584" max="584" width="5.5703125" bestFit="1" customWidth="1"/>
    <col min="585" max="585" width="4.42578125" bestFit="1" customWidth="1"/>
    <col min="586" max="588" width="5.5703125" bestFit="1" customWidth="1"/>
    <col min="589" max="590" width="6.7109375" bestFit="1" customWidth="1"/>
    <col min="591" max="591" width="5.5703125" bestFit="1" customWidth="1"/>
    <col min="592" max="592" width="4.42578125" bestFit="1" customWidth="1"/>
    <col min="593" max="593" width="6.7109375" bestFit="1" customWidth="1"/>
    <col min="594" max="595" width="5.5703125" bestFit="1" customWidth="1"/>
    <col min="596" max="596" width="4.42578125" bestFit="1" customWidth="1"/>
    <col min="597" max="601" width="5.5703125" bestFit="1" customWidth="1"/>
    <col min="602" max="602" width="4.42578125" bestFit="1" customWidth="1"/>
    <col min="603" max="603" width="5.5703125" bestFit="1" customWidth="1"/>
    <col min="604" max="604" width="6.7109375" bestFit="1" customWidth="1"/>
    <col min="605" max="605" width="4.42578125" bestFit="1" customWidth="1"/>
    <col min="606" max="608" width="5.5703125" bestFit="1" customWidth="1"/>
    <col min="609" max="610" width="6.7109375" bestFit="1" customWidth="1"/>
    <col min="611" max="611" width="5.5703125" bestFit="1" customWidth="1"/>
    <col min="612" max="612" width="4.42578125" bestFit="1" customWidth="1"/>
    <col min="613" max="613" width="5.5703125" bestFit="1" customWidth="1"/>
    <col min="614" max="615" width="7.85546875" bestFit="1" customWidth="1"/>
    <col min="616" max="616" width="6.7109375" bestFit="1" customWidth="1"/>
    <col min="617" max="621" width="5.5703125" bestFit="1" customWidth="1"/>
    <col min="622" max="622" width="3.28515625" bestFit="1" customWidth="1"/>
    <col min="623" max="623" width="6.7109375" bestFit="1" customWidth="1"/>
    <col min="624" max="625" width="5.5703125" bestFit="1" customWidth="1"/>
    <col min="626" max="627" width="6.7109375" bestFit="1" customWidth="1"/>
    <col min="628" max="628" width="3.28515625" bestFit="1" customWidth="1"/>
    <col min="629" max="629" width="5.5703125" bestFit="1" customWidth="1"/>
    <col min="630" max="630" width="6.7109375" bestFit="1" customWidth="1"/>
    <col min="631" max="634" width="5.5703125" bestFit="1" customWidth="1"/>
    <col min="635" max="637" width="4.42578125" bestFit="1" customWidth="1"/>
    <col min="638" max="638" width="6.7109375" bestFit="1" customWidth="1"/>
    <col min="639" max="639" width="3.28515625" bestFit="1" customWidth="1"/>
    <col min="640" max="640" width="4.42578125" bestFit="1" customWidth="1"/>
    <col min="641" max="641" width="5.5703125" bestFit="1" customWidth="1"/>
    <col min="642" max="642" width="4.42578125" bestFit="1" customWidth="1"/>
    <col min="643" max="643" width="6.7109375" bestFit="1" customWidth="1"/>
    <col min="644" max="644" width="5.5703125" bestFit="1" customWidth="1"/>
    <col min="645" max="645" width="2.28515625" bestFit="1" customWidth="1"/>
    <col min="646" max="646" width="5.5703125" bestFit="1" customWidth="1"/>
    <col min="647" max="647" width="4.42578125" bestFit="1" customWidth="1"/>
    <col min="648" max="648" width="6.7109375" bestFit="1" customWidth="1"/>
    <col min="649" max="651" width="5.5703125" bestFit="1" customWidth="1"/>
    <col min="652" max="652" width="4.42578125" bestFit="1" customWidth="1"/>
    <col min="653" max="653" width="5.5703125" bestFit="1" customWidth="1"/>
    <col min="654" max="654" width="4.42578125" bestFit="1" customWidth="1"/>
    <col min="655" max="655" width="6.7109375" bestFit="1" customWidth="1"/>
    <col min="656" max="656" width="5.5703125" bestFit="1" customWidth="1"/>
    <col min="657" max="657" width="3.28515625" bestFit="1" customWidth="1"/>
    <col min="658" max="658" width="5.5703125" bestFit="1" customWidth="1"/>
    <col min="659" max="659" width="4.42578125" bestFit="1" customWidth="1"/>
    <col min="660" max="662" width="6.7109375" bestFit="1" customWidth="1"/>
    <col min="663" max="665" width="5.5703125" bestFit="1" customWidth="1"/>
    <col min="666" max="666" width="4.42578125" bestFit="1" customWidth="1"/>
    <col min="667" max="667" width="5.5703125" bestFit="1" customWidth="1"/>
    <col min="668" max="668" width="4.42578125" bestFit="1" customWidth="1"/>
    <col min="669" max="670" width="5.5703125" bestFit="1" customWidth="1"/>
    <col min="671" max="671" width="6.7109375" bestFit="1" customWidth="1"/>
    <col min="672" max="672" width="5.5703125" bestFit="1" customWidth="1"/>
    <col min="673" max="673" width="4.42578125" bestFit="1" customWidth="1"/>
    <col min="674" max="674" width="6.7109375" bestFit="1" customWidth="1"/>
    <col min="675" max="676" width="5.5703125" bestFit="1" customWidth="1"/>
    <col min="677" max="677" width="4.42578125" bestFit="1" customWidth="1"/>
    <col min="678" max="678" width="6.7109375" bestFit="1" customWidth="1"/>
    <col min="679" max="679" width="7.85546875" bestFit="1" customWidth="1"/>
    <col min="680" max="680" width="4.42578125" bestFit="1" customWidth="1"/>
    <col min="681" max="681" width="6.7109375" bestFit="1" customWidth="1"/>
    <col min="682" max="682" width="5.5703125" bestFit="1" customWidth="1"/>
    <col min="683" max="683" width="3.28515625" bestFit="1" customWidth="1"/>
    <col min="684" max="684" width="6.7109375" bestFit="1" customWidth="1"/>
    <col min="685" max="685" width="5.5703125" bestFit="1" customWidth="1"/>
    <col min="686" max="687" width="4.42578125" bestFit="1" customWidth="1"/>
    <col min="688" max="692" width="5.5703125" bestFit="1" customWidth="1"/>
    <col min="693" max="694" width="6.7109375" bestFit="1" customWidth="1"/>
    <col min="695" max="695" width="4.42578125" bestFit="1" customWidth="1"/>
    <col min="696" max="697" width="5.5703125" bestFit="1" customWidth="1"/>
    <col min="698" max="698" width="4.42578125" bestFit="1" customWidth="1"/>
    <col min="699" max="700" width="6.7109375" bestFit="1" customWidth="1"/>
    <col min="701" max="701" width="4.42578125" bestFit="1" customWidth="1"/>
    <col min="702" max="702" width="6.7109375" bestFit="1" customWidth="1"/>
    <col min="703" max="708" width="5.5703125" bestFit="1" customWidth="1"/>
    <col min="709" max="710" width="4.42578125" bestFit="1" customWidth="1"/>
    <col min="711" max="711" width="6.7109375" bestFit="1" customWidth="1"/>
    <col min="712" max="712" width="5.5703125" bestFit="1" customWidth="1"/>
    <col min="713" max="714" width="4.42578125" bestFit="1" customWidth="1"/>
    <col min="715" max="715" width="5.5703125" bestFit="1" customWidth="1"/>
    <col min="716" max="716" width="6.7109375" bestFit="1" customWidth="1"/>
    <col min="717" max="717" width="5.5703125" bestFit="1" customWidth="1"/>
    <col min="718" max="718" width="4.42578125" bestFit="1" customWidth="1"/>
    <col min="719" max="719" width="3.28515625" bestFit="1" customWidth="1"/>
    <col min="720" max="724" width="5.5703125" bestFit="1" customWidth="1"/>
    <col min="725" max="725" width="4.42578125" bestFit="1" customWidth="1"/>
    <col min="726" max="727" width="5.5703125" bestFit="1" customWidth="1"/>
    <col min="728" max="728" width="6.7109375" bestFit="1" customWidth="1"/>
    <col min="729" max="730" width="4.42578125" bestFit="1" customWidth="1"/>
    <col min="731" max="731" width="5.5703125" bestFit="1" customWidth="1"/>
    <col min="732" max="732" width="4.42578125" bestFit="1" customWidth="1"/>
    <col min="733" max="736" width="5.5703125" bestFit="1" customWidth="1"/>
    <col min="737" max="737" width="3.28515625" bestFit="1" customWidth="1"/>
    <col min="738" max="739" width="4.42578125" bestFit="1" customWidth="1"/>
    <col min="740" max="740" width="5.5703125" bestFit="1" customWidth="1"/>
    <col min="741" max="741" width="4.42578125" bestFit="1" customWidth="1"/>
    <col min="742" max="742" width="5.5703125" bestFit="1" customWidth="1"/>
    <col min="743" max="743" width="6.7109375" bestFit="1" customWidth="1"/>
    <col min="744" max="747" width="5.5703125" bestFit="1" customWidth="1"/>
    <col min="748" max="748" width="2.28515625" bestFit="1" customWidth="1"/>
    <col min="749" max="749" width="6.7109375" bestFit="1" customWidth="1"/>
    <col min="750" max="750" width="5.5703125" bestFit="1" customWidth="1"/>
    <col min="751" max="751" width="4.42578125" bestFit="1" customWidth="1"/>
    <col min="752" max="754" width="5.5703125" bestFit="1" customWidth="1"/>
    <col min="755" max="756" width="6.7109375" bestFit="1" customWidth="1"/>
    <col min="757" max="757" width="3.28515625" bestFit="1" customWidth="1"/>
    <col min="758" max="758" width="4.42578125" bestFit="1" customWidth="1"/>
    <col min="759" max="763" width="5.5703125" bestFit="1" customWidth="1"/>
    <col min="764" max="764" width="4.42578125" bestFit="1" customWidth="1"/>
    <col min="765" max="766" width="5.5703125" bestFit="1" customWidth="1"/>
    <col min="767" max="767" width="3.28515625" bestFit="1" customWidth="1"/>
    <col min="768" max="769" width="4.42578125" bestFit="1" customWidth="1"/>
    <col min="770" max="770" width="6.7109375" bestFit="1" customWidth="1"/>
    <col min="771" max="771" width="4.42578125" bestFit="1" customWidth="1"/>
    <col min="772" max="772" width="5.5703125" bestFit="1" customWidth="1"/>
    <col min="773" max="773" width="6.7109375" bestFit="1" customWidth="1"/>
    <col min="774" max="774" width="4.42578125" bestFit="1" customWidth="1"/>
    <col min="775" max="775" width="6.7109375" bestFit="1" customWidth="1"/>
    <col min="776" max="776" width="3.28515625" bestFit="1" customWidth="1"/>
    <col min="777" max="779" width="6.7109375" bestFit="1" customWidth="1"/>
    <col min="780" max="781" width="5.5703125" bestFit="1" customWidth="1"/>
    <col min="782" max="782" width="3.28515625" bestFit="1" customWidth="1"/>
    <col min="783" max="783" width="4.42578125" bestFit="1" customWidth="1"/>
    <col min="784" max="784" width="6.7109375" bestFit="1" customWidth="1"/>
    <col min="785" max="786" width="5.5703125" bestFit="1" customWidth="1"/>
    <col min="787" max="787" width="4.42578125" bestFit="1" customWidth="1"/>
    <col min="788" max="789" width="6.7109375" bestFit="1" customWidth="1"/>
    <col min="790" max="792" width="4.42578125" bestFit="1" customWidth="1"/>
    <col min="793" max="793" width="5.5703125" bestFit="1" customWidth="1"/>
    <col min="794" max="794" width="3.28515625" bestFit="1" customWidth="1"/>
    <col min="795" max="797" width="5.5703125" bestFit="1" customWidth="1"/>
    <col min="798" max="798" width="4.42578125" bestFit="1" customWidth="1"/>
    <col min="799" max="799" width="5.5703125" bestFit="1" customWidth="1"/>
    <col min="800" max="800" width="4.42578125" bestFit="1" customWidth="1"/>
    <col min="801" max="801" width="5.5703125" bestFit="1" customWidth="1"/>
    <col min="802" max="803" width="6.7109375" bestFit="1" customWidth="1"/>
    <col min="804" max="806" width="5.5703125" bestFit="1" customWidth="1"/>
    <col min="807" max="807" width="4.42578125" bestFit="1" customWidth="1"/>
    <col min="808" max="809" width="5.5703125" bestFit="1" customWidth="1"/>
    <col min="810" max="810" width="4.42578125" bestFit="1" customWidth="1"/>
    <col min="811" max="812" width="5.5703125" bestFit="1" customWidth="1"/>
    <col min="813" max="814" width="4.42578125" bestFit="1" customWidth="1"/>
    <col min="815" max="816" width="5.5703125" bestFit="1" customWidth="1"/>
    <col min="817" max="817" width="2.28515625" bestFit="1" customWidth="1"/>
    <col min="818" max="818" width="6.7109375" bestFit="1" customWidth="1"/>
    <col min="819" max="819" width="5.5703125" bestFit="1" customWidth="1"/>
    <col min="820" max="820" width="4.42578125" bestFit="1" customWidth="1"/>
    <col min="821" max="821" width="5.5703125" bestFit="1" customWidth="1"/>
    <col min="822" max="822" width="3.28515625" bestFit="1" customWidth="1"/>
    <col min="823" max="825" width="4.42578125" bestFit="1" customWidth="1"/>
    <col min="826" max="826" width="6.7109375" bestFit="1" customWidth="1"/>
    <col min="827" max="828" width="4.42578125" bestFit="1" customWidth="1"/>
    <col min="829" max="830" width="5.5703125" bestFit="1" customWidth="1"/>
    <col min="831" max="831" width="4.42578125" bestFit="1" customWidth="1"/>
    <col min="832" max="833" width="5.5703125" bestFit="1" customWidth="1"/>
    <col min="834" max="834" width="4.42578125" bestFit="1" customWidth="1"/>
    <col min="835" max="835" width="3.28515625" bestFit="1" customWidth="1"/>
    <col min="836" max="836" width="5.5703125" bestFit="1" customWidth="1"/>
    <col min="837" max="837" width="6.7109375" bestFit="1" customWidth="1"/>
    <col min="838" max="838" width="5.5703125" bestFit="1" customWidth="1"/>
    <col min="839" max="839" width="4.42578125" bestFit="1" customWidth="1"/>
    <col min="840" max="840" width="6.7109375" bestFit="1" customWidth="1"/>
    <col min="841" max="841" width="5.5703125" bestFit="1" customWidth="1"/>
    <col min="842" max="842" width="3.28515625" bestFit="1" customWidth="1"/>
    <col min="843" max="844" width="5.5703125" bestFit="1" customWidth="1"/>
    <col min="845" max="845" width="6.7109375" bestFit="1" customWidth="1"/>
    <col min="846" max="847" width="4.42578125" bestFit="1" customWidth="1"/>
    <col min="848" max="848" width="6.7109375" bestFit="1" customWidth="1"/>
    <col min="849" max="849" width="3.28515625" bestFit="1" customWidth="1"/>
    <col min="850" max="858" width="5.5703125" bestFit="1" customWidth="1"/>
    <col min="859" max="859" width="4.42578125" bestFit="1" customWidth="1"/>
    <col min="860" max="861" width="6.7109375" bestFit="1" customWidth="1"/>
    <col min="862" max="864" width="5.5703125" bestFit="1" customWidth="1"/>
    <col min="865" max="866" width="4.42578125" bestFit="1" customWidth="1"/>
    <col min="867" max="868" width="6.7109375" bestFit="1" customWidth="1"/>
    <col min="869" max="870" width="4.42578125" bestFit="1" customWidth="1"/>
    <col min="871" max="871" width="5.5703125" bestFit="1" customWidth="1"/>
    <col min="872" max="872" width="4.42578125" bestFit="1" customWidth="1"/>
    <col min="873" max="874" width="6.7109375" bestFit="1" customWidth="1"/>
    <col min="875" max="875" width="5.5703125" bestFit="1" customWidth="1"/>
    <col min="876" max="876" width="2.28515625" bestFit="1" customWidth="1"/>
    <col min="877" max="877" width="3.28515625" bestFit="1" customWidth="1"/>
    <col min="878" max="879" width="4.42578125" bestFit="1" customWidth="1"/>
    <col min="880" max="881" width="5.5703125" bestFit="1" customWidth="1"/>
    <col min="882" max="882" width="4.42578125" bestFit="1" customWidth="1"/>
    <col min="883" max="890" width="5.5703125" bestFit="1" customWidth="1"/>
    <col min="891" max="891" width="6.7109375" bestFit="1" customWidth="1"/>
    <col min="892" max="892" width="4.42578125" bestFit="1" customWidth="1"/>
    <col min="893" max="894" width="5.5703125" bestFit="1" customWidth="1"/>
    <col min="895" max="895" width="3.28515625" bestFit="1" customWidth="1"/>
    <col min="896" max="896" width="6.7109375" bestFit="1" customWidth="1"/>
    <col min="897" max="901" width="5.5703125" bestFit="1" customWidth="1"/>
    <col min="902" max="902" width="3.28515625" bestFit="1" customWidth="1"/>
    <col min="903" max="903" width="5.5703125" bestFit="1" customWidth="1"/>
    <col min="904" max="904" width="4.42578125" bestFit="1" customWidth="1"/>
    <col min="905" max="905" width="5.5703125" bestFit="1" customWidth="1"/>
    <col min="906" max="906" width="6.7109375" bestFit="1" customWidth="1"/>
    <col min="907" max="907" width="3.28515625" bestFit="1" customWidth="1"/>
    <col min="908" max="908" width="5.5703125" bestFit="1" customWidth="1"/>
    <col min="909" max="909" width="4.42578125" bestFit="1" customWidth="1"/>
    <col min="910" max="910" width="5.5703125" bestFit="1" customWidth="1"/>
    <col min="911" max="911" width="6.7109375" bestFit="1" customWidth="1"/>
    <col min="912" max="913" width="5.5703125" bestFit="1" customWidth="1"/>
    <col min="914" max="915" width="4.42578125" bestFit="1" customWidth="1"/>
    <col min="916" max="917" width="5.5703125" bestFit="1" customWidth="1"/>
    <col min="918" max="918" width="6.7109375" bestFit="1" customWidth="1"/>
    <col min="919" max="919" width="4.42578125" bestFit="1" customWidth="1"/>
    <col min="920" max="921" width="5.5703125" bestFit="1" customWidth="1"/>
    <col min="922" max="922" width="4.42578125" bestFit="1" customWidth="1"/>
    <col min="923" max="923" width="5.5703125" bestFit="1" customWidth="1"/>
    <col min="924" max="924" width="4.42578125" bestFit="1" customWidth="1"/>
    <col min="925" max="926" width="5.5703125" bestFit="1" customWidth="1"/>
    <col min="927" max="928" width="4.42578125" bestFit="1" customWidth="1"/>
    <col min="929" max="929" width="3.28515625" bestFit="1" customWidth="1"/>
    <col min="930" max="934" width="5.5703125" bestFit="1" customWidth="1"/>
    <col min="935" max="935" width="2.28515625" bestFit="1" customWidth="1"/>
    <col min="936" max="940" width="5.5703125" bestFit="1" customWidth="1"/>
    <col min="941" max="941" width="3.28515625" bestFit="1" customWidth="1"/>
    <col min="942" max="942" width="4.42578125" bestFit="1" customWidth="1"/>
    <col min="943" max="943" width="3.28515625" bestFit="1" customWidth="1"/>
    <col min="944" max="944" width="6.7109375" bestFit="1" customWidth="1"/>
    <col min="945" max="945" width="5.5703125" bestFit="1" customWidth="1"/>
    <col min="946" max="947" width="4.42578125" bestFit="1" customWidth="1"/>
    <col min="948" max="949" width="5.5703125" bestFit="1" customWidth="1"/>
    <col min="950" max="950" width="4.42578125" bestFit="1" customWidth="1"/>
    <col min="951" max="951" width="5.5703125" bestFit="1" customWidth="1"/>
    <col min="952" max="952" width="4.42578125" bestFit="1" customWidth="1"/>
    <col min="953" max="953" width="5.5703125" bestFit="1" customWidth="1"/>
    <col min="954" max="954" width="4.42578125" bestFit="1" customWidth="1"/>
    <col min="955" max="955" width="5.5703125" bestFit="1" customWidth="1"/>
    <col min="956" max="956" width="6.7109375" bestFit="1" customWidth="1"/>
    <col min="957" max="958" width="5.5703125" bestFit="1" customWidth="1"/>
    <col min="959" max="959" width="3.28515625" bestFit="1" customWidth="1"/>
    <col min="960" max="967" width="5.5703125" bestFit="1" customWidth="1"/>
    <col min="968" max="968" width="3.28515625" bestFit="1" customWidth="1"/>
    <col min="969" max="970" width="5.5703125" bestFit="1" customWidth="1"/>
    <col min="971" max="971" width="6.7109375" bestFit="1" customWidth="1"/>
    <col min="972" max="976" width="5.5703125" bestFit="1" customWidth="1"/>
    <col min="977" max="978" width="4.42578125" bestFit="1" customWidth="1"/>
    <col min="979" max="979" width="2.28515625" bestFit="1" customWidth="1"/>
    <col min="980" max="980" width="4.42578125" bestFit="1" customWidth="1"/>
    <col min="981" max="981" width="5.5703125" bestFit="1" customWidth="1"/>
    <col min="982" max="983" width="4.42578125" bestFit="1" customWidth="1"/>
    <col min="984" max="984" width="5.5703125" bestFit="1" customWidth="1"/>
    <col min="985" max="985" width="3.28515625" bestFit="1" customWidth="1"/>
    <col min="986" max="986" width="4.42578125" bestFit="1" customWidth="1"/>
    <col min="987" max="987" width="6.7109375" bestFit="1" customWidth="1"/>
    <col min="988" max="988" width="5.5703125" bestFit="1" customWidth="1"/>
    <col min="989" max="989" width="6.7109375" bestFit="1" customWidth="1"/>
    <col min="990" max="991" width="4.42578125" bestFit="1" customWidth="1"/>
    <col min="992" max="993" width="6.7109375" bestFit="1" customWidth="1"/>
    <col min="994" max="994" width="5.5703125" bestFit="1" customWidth="1"/>
    <col min="995" max="995" width="4.42578125" bestFit="1" customWidth="1"/>
    <col min="996" max="997" width="6.7109375" bestFit="1" customWidth="1"/>
    <col min="998" max="998" width="3.28515625" bestFit="1" customWidth="1"/>
    <col min="999" max="999" width="6.7109375" bestFit="1" customWidth="1"/>
    <col min="1000" max="1005" width="5.5703125" bestFit="1" customWidth="1"/>
    <col min="1006" max="1006" width="4.42578125" bestFit="1" customWidth="1"/>
    <col min="1007" max="1007" width="5.5703125" bestFit="1" customWidth="1"/>
    <col min="1008" max="1008" width="6.7109375" bestFit="1" customWidth="1"/>
    <col min="1009" max="1009" width="5.5703125" bestFit="1" customWidth="1"/>
    <col min="1010" max="1010" width="3.28515625" bestFit="1" customWidth="1"/>
    <col min="1011" max="1011" width="5.5703125" bestFit="1" customWidth="1"/>
    <col min="1012" max="1012" width="6.7109375" bestFit="1" customWidth="1"/>
    <col min="1013" max="1013" width="4.42578125" bestFit="1" customWidth="1"/>
    <col min="1014" max="1015" width="5.5703125" bestFit="1" customWidth="1"/>
    <col min="1016" max="1016" width="3.28515625" bestFit="1" customWidth="1"/>
    <col min="1017" max="1017" width="5.5703125" bestFit="1" customWidth="1"/>
    <col min="1018" max="1019" width="4.42578125" bestFit="1" customWidth="1"/>
    <col min="1020" max="1021" width="5.5703125" bestFit="1" customWidth="1"/>
    <col min="1022" max="1022" width="6.7109375" bestFit="1" customWidth="1"/>
    <col min="1023" max="1024" width="4.42578125" bestFit="1" customWidth="1"/>
    <col min="1025" max="1026" width="5.5703125" bestFit="1" customWidth="1"/>
    <col min="1027" max="1027" width="5.7109375" bestFit="1" customWidth="1"/>
    <col min="1028" max="1028" width="11.28515625" bestFit="1" customWidth="1"/>
  </cols>
  <sheetData>
    <row r="2" spans="1:15" ht="15.75" x14ac:dyDescent="0.25">
      <c r="B2" s="14" t="s">
        <v>2321</v>
      </c>
      <c r="C2" s="14"/>
      <c r="H2" s="6" t="s">
        <v>2325</v>
      </c>
      <c r="K2" s="7" t="s">
        <v>2326</v>
      </c>
    </row>
    <row r="3" spans="1:15" ht="26.25" x14ac:dyDescent="0.4">
      <c r="A3" s="1" t="s">
        <v>1177</v>
      </c>
      <c r="B3" s="10">
        <f>COUNTA(A4:A1154)</f>
        <v>1151</v>
      </c>
      <c r="C3" s="3"/>
      <c r="D3" t="s">
        <v>2322</v>
      </c>
      <c r="F3" t="s">
        <v>2323</v>
      </c>
      <c r="H3" s="1" t="s">
        <v>1177</v>
      </c>
      <c r="I3" t="s">
        <v>2324</v>
      </c>
      <c r="K3" s="1" t="s">
        <v>1177</v>
      </c>
      <c r="L3" t="s">
        <v>2327</v>
      </c>
    </row>
    <row r="4" spans="1:15" x14ac:dyDescent="0.25">
      <c r="A4" s="2" t="s">
        <v>2021</v>
      </c>
      <c r="D4" s="4">
        <v>45.568201563857514</v>
      </c>
      <c r="F4" s="4">
        <v>4.0829565217391321</v>
      </c>
      <c r="H4" s="2" t="s">
        <v>1186</v>
      </c>
      <c r="I4" s="4">
        <v>426973</v>
      </c>
      <c r="K4" s="2" t="s">
        <v>413</v>
      </c>
      <c r="L4" s="5">
        <v>436</v>
      </c>
      <c r="O4">
        <f>GETPIVOTDATA("product_id",$K$3)</f>
        <v>436</v>
      </c>
    </row>
    <row r="5" spans="1:15" ht="26.25" x14ac:dyDescent="0.4">
      <c r="A5" s="2" t="s">
        <v>2149</v>
      </c>
      <c r="D5" s="11">
        <f>GETPIVOTDATA("discount",$D$3)</f>
        <v>45.568201563857514</v>
      </c>
      <c r="F5" s="12">
        <f>GETPIVOTDATA("rating",$F$3)</f>
        <v>4.0829565217391321</v>
      </c>
      <c r="H5" s="2" t="s">
        <v>1178</v>
      </c>
      <c r="I5" s="4">
        <v>426973</v>
      </c>
      <c r="K5" s="2" t="s">
        <v>1178</v>
      </c>
      <c r="L5" s="4">
        <v>436</v>
      </c>
      <c r="O5" s="13">
        <f>O4</f>
        <v>436</v>
      </c>
    </row>
    <row r="6" spans="1:15" x14ac:dyDescent="0.25">
      <c r="A6" s="2" t="s">
        <v>1241</v>
      </c>
    </row>
    <row r="7" spans="1:15" ht="18.75" x14ac:dyDescent="0.3">
      <c r="A7" s="2" t="s">
        <v>1527</v>
      </c>
      <c r="H7" s="19" t="str">
        <f>H4</f>
        <v>Amazon Basics High-Speed HDMI Cable,</v>
      </c>
    </row>
    <row r="8" spans="1:15" x14ac:dyDescent="0.25">
      <c r="A8" s="2" t="s">
        <v>1736</v>
      </c>
    </row>
    <row r="9" spans="1:15" x14ac:dyDescent="0.25">
      <c r="A9" s="2" t="s">
        <v>1573</v>
      </c>
    </row>
    <row r="10" spans="1:15" x14ac:dyDescent="0.25">
      <c r="A10" s="2" t="s">
        <v>2312</v>
      </c>
    </row>
    <row r="11" spans="1:15" x14ac:dyDescent="0.25">
      <c r="A11" s="2" t="s">
        <v>1347</v>
      </c>
    </row>
    <row r="12" spans="1:15" x14ac:dyDescent="0.25">
      <c r="A12" s="2" t="s">
        <v>1277</v>
      </c>
    </row>
    <row r="13" spans="1:15" x14ac:dyDescent="0.25">
      <c r="A13" s="2" t="s">
        <v>1336</v>
      </c>
    </row>
    <row r="14" spans="1:15" x14ac:dyDescent="0.25">
      <c r="A14" s="2" t="s">
        <v>1187</v>
      </c>
    </row>
    <row r="15" spans="1:15" x14ac:dyDescent="0.25">
      <c r="A15" s="2" t="s">
        <v>1261</v>
      </c>
    </row>
    <row r="16" spans="1:15" x14ac:dyDescent="0.25">
      <c r="A16" s="2" t="s">
        <v>1258</v>
      </c>
      <c r="L16" s="4"/>
    </row>
    <row r="17" spans="1:1" x14ac:dyDescent="0.25">
      <c r="A17" s="2" t="s">
        <v>1233</v>
      </c>
    </row>
    <row r="18" spans="1:1" x14ac:dyDescent="0.25">
      <c r="A18" s="2" t="s">
        <v>1304</v>
      </c>
    </row>
    <row r="19" spans="1:1" x14ac:dyDescent="0.25">
      <c r="A19" s="2" t="s">
        <v>1337</v>
      </c>
    </row>
    <row r="20" spans="1:1" x14ac:dyDescent="0.25">
      <c r="A20" s="2" t="s">
        <v>1395</v>
      </c>
    </row>
    <row r="21" spans="1:1" x14ac:dyDescent="0.25">
      <c r="A21" s="2" t="s">
        <v>1375</v>
      </c>
    </row>
    <row r="22" spans="1:1" x14ac:dyDescent="0.25">
      <c r="A22" s="2" t="s">
        <v>1323</v>
      </c>
    </row>
    <row r="23" spans="1:1" x14ac:dyDescent="0.25">
      <c r="A23" s="2" t="s">
        <v>2266</v>
      </c>
    </row>
    <row r="24" spans="1:1" x14ac:dyDescent="0.25">
      <c r="A24" s="2" t="s">
        <v>1348</v>
      </c>
    </row>
    <row r="25" spans="1:1" x14ac:dyDescent="0.25">
      <c r="A25" s="2" t="s">
        <v>1235</v>
      </c>
    </row>
    <row r="26" spans="1:1" x14ac:dyDescent="0.25">
      <c r="A26" s="2" t="s">
        <v>1197</v>
      </c>
    </row>
    <row r="27" spans="1:1" x14ac:dyDescent="0.25">
      <c r="A27" s="2" t="s">
        <v>1270</v>
      </c>
    </row>
    <row r="28" spans="1:1" x14ac:dyDescent="0.25">
      <c r="A28" s="2" t="s">
        <v>1180</v>
      </c>
    </row>
    <row r="29" spans="1:1" x14ac:dyDescent="0.25">
      <c r="A29" s="2" t="s">
        <v>1639</v>
      </c>
    </row>
    <row r="30" spans="1:1" x14ac:dyDescent="0.25">
      <c r="A30" s="2" t="s">
        <v>2152</v>
      </c>
    </row>
    <row r="31" spans="1:1" x14ac:dyDescent="0.25">
      <c r="A31" s="2" t="s">
        <v>2284</v>
      </c>
    </row>
    <row r="32" spans="1:1" x14ac:dyDescent="0.25">
      <c r="A32" s="2" t="s">
        <v>2023</v>
      </c>
    </row>
    <row r="33" spans="1:1" x14ac:dyDescent="0.25">
      <c r="A33" s="2" t="s">
        <v>2089</v>
      </c>
    </row>
    <row r="34" spans="1:1" x14ac:dyDescent="0.25">
      <c r="A34" s="2" t="s">
        <v>2030</v>
      </c>
    </row>
    <row r="35" spans="1:1" x14ac:dyDescent="0.25">
      <c r="A35" s="2" t="s">
        <v>2109</v>
      </c>
    </row>
    <row r="36" spans="1:1" x14ac:dyDescent="0.25">
      <c r="A36" s="2" t="s">
        <v>1431</v>
      </c>
    </row>
    <row r="37" spans="1:1" x14ac:dyDescent="0.25">
      <c r="A37" s="2" t="s">
        <v>1318</v>
      </c>
    </row>
    <row r="38" spans="1:1" x14ac:dyDescent="0.25">
      <c r="A38" s="2" t="s">
        <v>2192</v>
      </c>
    </row>
    <row r="39" spans="1:1" x14ac:dyDescent="0.25">
      <c r="A39" s="2" t="s">
        <v>1934</v>
      </c>
    </row>
    <row r="40" spans="1:1" x14ac:dyDescent="0.25">
      <c r="A40" s="2" t="s">
        <v>2264</v>
      </c>
    </row>
    <row r="41" spans="1:1" x14ac:dyDescent="0.25">
      <c r="A41" s="2" t="s">
        <v>2193</v>
      </c>
    </row>
    <row r="42" spans="1:1" x14ac:dyDescent="0.25">
      <c r="A42" s="2" t="s">
        <v>1926</v>
      </c>
    </row>
    <row r="43" spans="1:1" x14ac:dyDescent="0.25">
      <c r="A43" s="2" t="s">
        <v>2067</v>
      </c>
    </row>
    <row r="44" spans="1:1" x14ac:dyDescent="0.25">
      <c r="A44" s="2" t="s">
        <v>1931</v>
      </c>
    </row>
    <row r="45" spans="1:1" x14ac:dyDescent="0.25">
      <c r="A45" s="2" t="s">
        <v>2241</v>
      </c>
    </row>
    <row r="46" spans="1:1" x14ac:dyDescent="0.25">
      <c r="A46" s="2" t="s">
        <v>2255</v>
      </c>
    </row>
    <row r="47" spans="1:1" x14ac:dyDescent="0.25">
      <c r="A47" s="2" t="s">
        <v>2289</v>
      </c>
    </row>
    <row r="48" spans="1:1" x14ac:dyDescent="0.25">
      <c r="A48" s="2" t="s">
        <v>1972</v>
      </c>
    </row>
    <row r="49" spans="1:1" x14ac:dyDescent="0.25">
      <c r="A49" s="2" t="s">
        <v>1397</v>
      </c>
    </row>
    <row r="50" spans="1:1" x14ac:dyDescent="0.25">
      <c r="A50" s="2" t="s">
        <v>1675</v>
      </c>
    </row>
    <row r="51" spans="1:1" x14ac:dyDescent="0.25">
      <c r="A51" s="2" t="s">
        <v>1652</v>
      </c>
    </row>
    <row r="52" spans="1:1" x14ac:dyDescent="0.25">
      <c r="A52" s="2" t="s">
        <v>1739</v>
      </c>
    </row>
    <row r="53" spans="1:1" x14ac:dyDescent="0.25">
      <c r="A53" s="2" t="s">
        <v>1354</v>
      </c>
    </row>
    <row r="54" spans="1:1" x14ac:dyDescent="0.25">
      <c r="A54" s="2" t="s">
        <v>1248</v>
      </c>
    </row>
    <row r="55" spans="1:1" x14ac:dyDescent="0.25">
      <c r="A55" s="2" t="s">
        <v>1191</v>
      </c>
    </row>
    <row r="56" spans="1:1" x14ac:dyDescent="0.25">
      <c r="A56" s="2" t="s">
        <v>1404</v>
      </c>
    </row>
    <row r="57" spans="1:1" x14ac:dyDescent="0.25">
      <c r="A57" s="2" t="s">
        <v>2111</v>
      </c>
    </row>
    <row r="58" spans="1:1" x14ac:dyDescent="0.25">
      <c r="A58" s="2" t="s">
        <v>2052</v>
      </c>
    </row>
    <row r="59" spans="1:1" x14ac:dyDescent="0.25">
      <c r="A59" s="2" t="s">
        <v>2132</v>
      </c>
    </row>
    <row r="60" spans="1:1" x14ac:dyDescent="0.25">
      <c r="A60" s="2" t="s">
        <v>1833</v>
      </c>
    </row>
    <row r="61" spans="1:1" x14ac:dyDescent="0.25">
      <c r="A61" s="2" t="s">
        <v>1383</v>
      </c>
    </row>
    <row r="62" spans="1:1" x14ac:dyDescent="0.25">
      <c r="A62" s="2" t="s">
        <v>1939</v>
      </c>
    </row>
    <row r="63" spans="1:1" x14ac:dyDescent="0.25">
      <c r="A63" s="2" t="s">
        <v>1326</v>
      </c>
    </row>
    <row r="64" spans="1:1" x14ac:dyDescent="0.25">
      <c r="A64" s="2" t="s">
        <v>1543</v>
      </c>
    </row>
    <row r="65" spans="1:1" x14ac:dyDescent="0.25">
      <c r="A65" s="2" t="s">
        <v>1957</v>
      </c>
    </row>
    <row r="66" spans="1:1" x14ac:dyDescent="0.25">
      <c r="A66" s="2" t="s">
        <v>2189</v>
      </c>
    </row>
    <row r="67" spans="1:1" x14ac:dyDescent="0.25">
      <c r="A67" s="2" t="s">
        <v>2147</v>
      </c>
    </row>
    <row r="68" spans="1:1" x14ac:dyDescent="0.25">
      <c r="A68" s="2" t="s">
        <v>144</v>
      </c>
    </row>
    <row r="69" spans="1:1" x14ac:dyDescent="0.25">
      <c r="A69" s="2" t="s">
        <v>1186</v>
      </c>
    </row>
    <row r="70" spans="1:1" x14ac:dyDescent="0.25">
      <c r="A70" s="2" t="s">
        <v>1664</v>
      </c>
    </row>
    <row r="71" spans="1:1" x14ac:dyDescent="0.25">
      <c r="A71" s="2" t="s">
        <v>1662</v>
      </c>
    </row>
    <row r="72" spans="1:1" x14ac:dyDescent="0.25">
      <c r="A72" s="2" t="s">
        <v>1210</v>
      </c>
    </row>
    <row r="73" spans="1:1" x14ac:dyDescent="0.25">
      <c r="A73" s="2" t="s">
        <v>1282</v>
      </c>
    </row>
    <row r="74" spans="1:1" x14ac:dyDescent="0.25">
      <c r="A74" s="2" t="s">
        <v>1286</v>
      </c>
    </row>
    <row r="75" spans="1:1" x14ac:dyDescent="0.25">
      <c r="A75" s="2" t="s">
        <v>1306</v>
      </c>
    </row>
    <row r="76" spans="1:1" x14ac:dyDescent="0.25">
      <c r="A76" s="2" t="s">
        <v>1691</v>
      </c>
    </row>
    <row r="77" spans="1:1" x14ac:dyDescent="0.25">
      <c r="A77" s="2" t="s">
        <v>1893</v>
      </c>
    </row>
    <row r="78" spans="1:1" x14ac:dyDescent="0.25">
      <c r="A78" s="2" t="s">
        <v>1357</v>
      </c>
    </row>
    <row r="79" spans="1:1" x14ac:dyDescent="0.25">
      <c r="A79" s="2" t="s">
        <v>1362</v>
      </c>
    </row>
    <row r="80" spans="1:1" x14ac:dyDescent="0.25">
      <c r="A80" s="2" t="s">
        <v>1390</v>
      </c>
    </row>
    <row r="81" spans="1:1" x14ac:dyDescent="0.25">
      <c r="A81" s="2" t="s">
        <v>1345</v>
      </c>
    </row>
    <row r="82" spans="1:1" x14ac:dyDescent="0.25">
      <c r="A82" s="2" t="s">
        <v>1369</v>
      </c>
    </row>
    <row r="83" spans="1:1" x14ac:dyDescent="0.25">
      <c r="A83" s="2" t="s">
        <v>1402</v>
      </c>
    </row>
    <row r="84" spans="1:1" x14ac:dyDescent="0.25">
      <c r="A84" s="2" t="s">
        <v>1231</v>
      </c>
    </row>
    <row r="85" spans="1:1" x14ac:dyDescent="0.25">
      <c r="A85" s="2" t="s">
        <v>1234</v>
      </c>
    </row>
    <row r="86" spans="1:1" x14ac:dyDescent="0.25">
      <c r="A86" s="2" t="s">
        <v>1319</v>
      </c>
    </row>
    <row r="87" spans="1:1" x14ac:dyDescent="0.25">
      <c r="A87" s="2" t="s">
        <v>1230</v>
      </c>
    </row>
    <row r="88" spans="1:1" x14ac:dyDescent="0.25">
      <c r="A88" s="2" t="s">
        <v>2195</v>
      </c>
    </row>
    <row r="89" spans="1:1" x14ac:dyDescent="0.25">
      <c r="A89" s="2" t="s">
        <v>1262</v>
      </c>
    </row>
    <row r="90" spans="1:1" x14ac:dyDescent="0.25">
      <c r="A90" s="2" t="s">
        <v>1368</v>
      </c>
    </row>
    <row r="91" spans="1:1" x14ac:dyDescent="0.25">
      <c r="A91" s="2" t="s">
        <v>2296</v>
      </c>
    </row>
    <row r="92" spans="1:1" x14ac:dyDescent="0.25">
      <c r="A92" s="2" t="s">
        <v>1350</v>
      </c>
    </row>
    <row r="93" spans="1:1" x14ac:dyDescent="0.25">
      <c r="A93" s="2" t="s">
        <v>2093</v>
      </c>
    </row>
    <row r="94" spans="1:1" x14ac:dyDescent="0.25">
      <c r="A94" s="2" t="s">
        <v>1188</v>
      </c>
    </row>
    <row r="95" spans="1:1" x14ac:dyDescent="0.25">
      <c r="A95" s="2" t="s">
        <v>1238</v>
      </c>
    </row>
    <row r="96" spans="1:1" x14ac:dyDescent="0.25">
      <c r="A96" s="2" t="s">
        <v>1249</v>
      </c>
    </row>
    <row r="97" spans="1:1" x14ac:dyDescent="0.25">
      <c r="A97" s="2" t="s">
        <v>1305</v>
      </c>
    </row>
    <row r="98" spans="1:1" x14ac:dyDescent="0.25">
      <c r="A98" s="2" t="s">
        <v>1281</v>
      </c>
    </row>
    <row r="99" spans="1:1" x14ac:dyDescent="0.25">
      <c r="A99" s="2" t="s">
        <v>1372</v>
      </c>
    </row>
    <row r="100" spans="1:1" x14ac:dyDescent="0.25">
      <c r="A100" s="2" t="s">
        <v>1333</v>
      </c>
    </row>
    <row r="101" spans="1:1" x14ac:dyDescent="0.25">
      <c r="A101" s="2" t="s">
        <v>1449</v>
      </c>
    </row>
    <row r="102" spans="1:1" x14ac:dyDescent="0.25">
      <c r="A102" s="2" t="s">
        <v>1545</v>
      </c>
    </row>
    <row r="103" spans="1:1" x14ac:dyDescent="0.25">
      <c r="A103" s="2" t="s">
        <v>1327</v>
      </c>
    </row>
    <row r="104" spans="1:1" x14ac:dyDescent="0.25">
      <c r="A104" s="2" t="s">
        <v>1265</v>
      </c>
    </row>
    <row r="105" spans="1:1" x14ac:dyDescent="0.25">
      <c r="A105" s="2" t="s">
        <v>1250</v>
      </c>
    </row>
    <row r="106" spans="1:1" x14ac:dyDescent="0.25">
      <c r="A106" s="2" t="s">
        <v>1448</v>
      </c>
    </row>
    <row r="107" spans="1:1" x14ac:dyDescent="0.25">
      <c r="A107" s="2" t="s">
        <v>2154</v>
      </c>
    </row>
    <row r="108" spans="1:1" x14ac:dyDescent="0.25">
      <c r="A108" s="2" t="s">
        <v>1298</v>
      </c>
    </row>
    <row r="109" spans="1:1" x14ac:dyDescent="0.25">
      <c r="A109" s="2" t="s">
        <v>1480</v>
      </c>
    </row>
    <row r="110" spans="1:1" x14ac:dyDescent="0.25">
      <c r="A110" s="2" t="s">
        <v>1753</v>
      </c>
    </row>
    <row r="111" spans="1:1" x14ac:dyDescent="0.25">
      <c r="A111" s="2" t="s">
        <v>1761</v>
      </c>
    </row>
    <row r="112" spans="1:1" x14ac:dyDescent="0.25">
      <c r="A112" s="2" t="s">
        <v>2178</v>
      </c>
    </row>
    <row r="113" spans="1:1" x14ac:dyDescent="0.25">
      <c r="A113" s="2" t="s">
        <v>1693</v>
      </c>
    </row>
    <row r="114" spans="1:1" x14ac:dyDescent="0.25">
      <c r="A114" s="2" t="s">
        <v>1759</v>
      </c>
    </row>
    <row r="115" spans="1:1" x14ac:dyDescent="0.25">
      <c r="A115" s="2" t="s">
        <v>2273</v>
      </c>
    </row>
    <row r="116" spans="1:1" x14ac:dyDescent="0.25">
      <c r="A116" s="2" t="s">
        <v>2146</v>
      </c>
    </row>
    <row r="117" spans="1:1" x14ac:dyDescent="0.25">
      <c r="A117" s="2" t="s">
        <v>2182</v>
      </c>
    </row>
    <row r="118" spans="1:1" x14ac:dyDescent="0.25">
      <c r="A118" s="2" t="s">
        <v>2071</v>
      </c>
    </row>
    <row r="119" spans="1:1" x14ac:dyDescent="0.25">
      <c r="A119" s="2" t="s">
        <v>1855</v>
      </c>
    </row>
    <row r="120" spans="1:1" x14ac:dyDescent="0.25">
      <c r="A120" s="2" t="s">
        <v>1359</v>
      </c>
    </row>
    <row r="121" spans="1:1" x14ac:dyDescent="0.25">
      <c r="A121" s="2" t="s">
        <v>1312</v>
      </c>
    </row>
    <row r="122" spans="1:1" x14ac:dyDescent="0.25">
      <c r="A122" s="2" t="s">
        <v>2012</v>
      </c>
    </row>
    <row r="123" spans="1:1" x14ac:dyDescent="0.25">
      <c r="A123" s="2" t="s">
        <v>2017</v>
      </c>
    </row>
    <row r="124" spans="1:1" x14ac:dyDescent="0.25">
      <c r="A124" s="2" t="s">
        <v>2165</v>
      </c>
    </row>
    <row r="125" spans="1:1" x14ac:dyDescent="0.25">
      <c r="A125" s="2" t="s">
        <v>2042</v>
      </c>
    </row>
    <row r="126" spans="1:1" x14ac:dyDescent="0.25">
      <c r="A126" s="2" t="s">
        <v>1973</v>
      </c>
    </row>
    <row r="127" spans="1:1" x14ac:dyDescent="0.25">
      <c r="A127" s="2" t="s">
        <v>2070</v>
      </c>
    </row>
    <row r="128" spans="1:1" x14ac:dyDescent="0.25">
      <c r="A128" s="2" t="s">
        <v>1970</v>
      </c>
    </row>
    <row r="129" spans="1:1" x14ac:dyDescent="0.25">
      <c r="A129" s="2" t="s">
        <v>1906</v>
      </c>
    </row>
    <row r="130" spans="1:1" x14ac:dyDescent="0.25">
      <c r="A130" s="2" t="s">
        <v>1945</v>
      </c>
    </row>
    <row r="131" spans="1:1" x14ac:dyDescent="0.25">
      <c r="A131" s="2" t="s">
        <v>2040</v>
      </c>
    </row>
    <row r="132" spans="1:1" x14ac:dyDescent="0.25">
      <c r="A132" s="2" t="s">
        <v>2308</v>
      </c>
    </row>
    <row r="133" spans="1:1" x14ac:dyDescent="0.25">
      <c r="A133" s="2" t="s">
        <v>1920</v>
      </c>
    </row>
    <row r="134" spans="1:1" x14ac:dyDescent="0.25">
      <c r="A134" s="2" t="s">
        <v>2198</v>
      </c>
    </row>
    <row r="135" spans="1:1" x14ac:dyDescent="0.25">
      <c r="A135" s="2" t="s">
        <v>1915</v>
      </c>
    </row>
    <row r="136" spans="1:1" x14ac:dyDescent="0.25">
      <c r="A136" s="2" t="s">
        <v>2318</v>
      </c>
    </row>
    <row r="137" spans="1:1" x14ac:dyDescent="0.25">
      <c r="A137" s="2" t="s">
        <v>1965</v>
      </c>
    </row>
    <row r="138" spans="1:1" x14ac:dyDescent="0.25">
      <c r="A138" s="2" t="s">
        <v>1935</v>
      </c>
    </row>
    <row r="139" spans="1:1" x14ac:dyDescent="0.25">
      <c r="A139" s="2" t="s">
        <v>1959</v>
      </c>
    </row>
    <row r="140" spans="1:1" x14ac:dyDescent="0.25">
      <c r="A140" s="2" t="s">
        <v>1913</v>
      </c>
    </row>
    <row r="141" spans="1:1" x14ac:dyDescent="0.25">
      <c r="A141" s="2" t="s">
        <v>1946</v>
      </c>
    </row>
    <row r="142" spans="1:1" x14ac:dyDescent="0.25">
      <c r="A142" s="2" t="s">
        <v>2130</v>
      </c>
    </row>
    <row r="143" spans="1:1" x14ac:dyDescent="0.25">
      <c r="A143" s="2" t="s">
        <v>1990</v>
      </c>
    </row>
    <row r="144" spans="1:1" x14ac:dyDescent="0.25">
      <c r="A144" s="2" t="s">
        <v>2121</v>
      </c>
    </row>
    <row r="145" spans="1:1" x14ac:dyDescent="0.25">
      <c r="A145" s="2" t="s">
        <v>1916</v>
      </c>
    </row>
    <row r="146" spans="1:1" x14ac:dyDescent="0.25">
      <c r="A146" s="2" t="s">
        <v>2046</v>
      </c>
    </row>
    <row r="147" spans="1:1" x14ac:dyDescent="0.25">
      <c r="A147" s="2" t="s">
        <v>2270</v>
      </c>
    </row>
    <row r="148" spans="1:1" x14ac:dyDescent="0.25">
      <c r="A148" s="2" t="s">
        <v>1899</v>
      </c>
    </row>
    <row r="149" spans="1:1" x14ac:dyDescent="0.25">
      <c r="A149" s="2" t="s">
        <v>1911</v>
      </c>
    </row>
    <row r="150" spans="1:1" x14ac:dyDescent="0.25">
      <c r="A150" s="2" t="s">
        <v>1971</v>
      </c>
    </row>
    <row r="151" spans="1:1" x14ac:dyDescent="0.25">
      <c r="A151" s="2" t="s">
        <v>2085</v>
      </c>
    </row>
    <row r="152" spans="1:1" x14ac:dyDescent="0.25">
      <c r="A152" s="2" t="s">
        <v>1895</v>
      </c>
    </row>
    <row r="153" spans="1:1" x14ac:dyDescent="0.25">
      <c r="A153" s="2" t="s">
        <v>1291</v>
      </c>
    </row>
    <row r="154" spans="1:1" x14ac:dyDescent="0.25">
      <c r="A154" s="2" t="s">
        <v>1853</v>
      </c>
    </row>
    <row r="155" spans="1:1" x14ac:dyDescent="0.25">
      <c r="A155" s="2" t="s">
        <v>1322</v>
      </c>
    </row>
    <row r="156" spans="1:1" x14ac:dyDescent="0.25">
      <c r="A156" s="2" t="s">
        <v>1388</v>
      </c>
    </row>
    <row r="157" spans="1:1" x14ac:dyDescent="0.25">
      <c r="A157" s="2" t="s">
        <v>1886</v>
      </c>
    </row>
    <row r="158" spans="1:1" x14ac:dyDescent="0.25">
      <c r="A158" s="2" t="s">
        <v>2199</v>
      </c>
    </row>
    <row r="159" spans="1:1" x14ac:dyDescent="0.25">
      <c r="A159" s="2" t="s">
        <v>2102</v>
      </c>
    </row>
    <row r="160" spans="1:1" x14ac:dyDescent="0.25">
      <c r="A160" s="2" t="s">
        <v>1251</v>
      </c>
    </row>
    <row r="161" spans="1:1" x14ac:dyDescent="0.25">
      <c r="A161" s="2" t="s">
        <v>1297</v>
      </c>
    </row>
    <row r="162" spans="1:1" x14ac:dyDescent="0.25">
      <c r="A162" s="2" t="s">
        <v>1331</v>
      </c>
    </row>
    <row r="163" spans="1:1" x14ac:dyDescent="0.25">
      <c r="A163" s="2" t="s">
        <v>1556</v>
      </c>
    </row>
    <row r="164" spans="1:1" x14ac:dyDescent="0.25">
      <c r="A164" s="2" t="s">
        <v>1552</v>
      </c>
    </row>
    <row r="165" spans="1:1" x14ac:dyDescent="0.25">
      <c r="A165" s="2" t="s">
        <v>1647</v>
      </c>
    </row>
    <row r="166" spans="1:1" x14ac:dyDescent="0.25">
      <c r="A166" s="2" t="s">
        <v>1625</v>
      </c>
    </row>
    <row r="167" spans="1:1" x14ac:dyDescent="0.25">
      <c r="A167" s="2" t="s">
        <v>1763</v>
      </c>
    </row>
    <row r="168" spans="1:1" x14ac:dyDescent="0.25">
      <c r="A168" s="2" t="s">
        <v>1417</v>
      </c>
    </row>
    <row r="169" spans="1:1" x14ac:dyDescent="0.25">
      <c r="A169" s="2" t="s">
        <v>1551</v>
      </c>
    </row>
    <row r="170" spans="1:1" x14ac:dyDescent="0.25">
      <c r="A170" s="2" t="s">
        <v>1807</v>
      </c>
    </row>
    <row r="171" spans="1:1" x14ac:dyDescent="0.25">
      <c r="A171" s="2" t="s">
        <v>1575</v>
      </c>
    </row>
    <row r="172" spans="1:1" x14ac:dyDescent="0.25">
      <c r="A172" s="2" t="s">
        <v>1574</v>
      </c>
    </row>
    <row r="173" spans="1:1" x14ac:dyDescent="0.25">
      <c r="A173" s="2" t="s">
        <v>1680</v>
      </c>
    </row>
    <row r="174" spans="1:1" x14ac:dyDescent="0.25">
      <c r="A174" s="2" t="s">
        <v>1461</v>
      </c>
    </row>
    <row r="175" spans="1:1" x14ac:dyDescent="0.25">
      <c r="A175" s="2" t="s">
        <v>1888</v>
      </c>
    </row>
    <row r="176" spans="1:1" x14ac:dyDescent="0.25">
      <c r="A176" s="2" t="s">
        <v>1201</v>
      </c>
    </row>
    <row r="177" spans="1:1" x14ac:dyDescent="0.25">
      <c r="A177" s="2" t="s">
        <v>1640</v>
      </c>
    </row>
    <row r="178" spans="1:1" x14ac:dyDescent="0.25">
      <c r="A178" s="2" t="s">
        <v>1218</v>
      </c>
    </row>
    <row r="179" spans="1:1" x14ac:dyDescent="0.25">
      <c r="A179" s="2" t="s">
        <v>1280</v>
      </c>
    </row>
    <row r="180" spans="1:1" x14ac:dyDescent="0.25">
      <c r="A180" s="2" t="s">
        <v>1310</v>
      </c>
    </row>
    <row r="181" spans="1:1" x14ac:dyDescent="0.25">
      <c r="A181" s="2" t="s">
        <v>1475</v>
      </c>
    </row>
    <row r="182" spans="1:1" x14ac:dyDescent="0.25">
      <c r="A182" s="2" t="s">
        <v>1558</v>
      </c>
    </row>
    <row r="183" spans="1:1" x14ac:dyDescent="0.25">
      <c r="A183" s="2" t="s">
        <v>1584</v>
      </c>
    </row>
    <row r="184" spans="1:1" x14ac:dyDescent="0.25">
      <c r="A184" s="2" t="s">
        <v>1611</v>
      </c>
    </row>
    <row r="185" spans="1:1" x14ac:dyDescent="0.25">
      <c r="A185" s="2" t="s">
        <v>1561</v>
      </c>
    </row>
    <row r="186" spans="1:1" x14ac:dyDescent="0.25">
      <c r="A186" s="2" t="s">
        <v>1606</v>
      </c>
    </row>
    <row r="187" spans="1:1" x14ac:dyDescent="0.25">
      <c r="A187" s="2" t="s">
        <v>1344</v>
      </c>
    </row>
    <row r="188" spans="1:1" x14ac:dyDescent="0.25">
      <c r="A188" s="2" t="s">
        <v>1719</v>
      </c>
    </row>
    <row r="189" spans="1:1" x14ac:dyDescent="0.25">
      <c r="A189" s="2" t="s">
        <v>1875</v>
      </c>
    </row>
    <row r="190" spans="1:1" x14ac:dyDescent="0.25">
      <c r="A190" s="2" t="s">
        <v>1717</v>
      </c>
    </row>
    <row r="191" spans="1:1" x14ac:dyDescent="0.25">
      <c r="A191" s="2" t="s">
        <v>1220</v>
      </c>
    </row>
    <row r="192" spans="1:1" x14ac:dyDescent="0.25">
      <c r="A192" s="2" t="s">
        <v>1243</v>
      </c>
    </row>
    <row r="193" spans="1:1" x14ac:dyDescent="0.25">
      <c r="A193" s="2" t="s">
        <v>1473</v>
      </c>
    </row>
    <row r="194" spans="1:1" x14ac:dyDescent="0.25">
      <c r="A194" s="2" t="s">
        <v>1493</v>
      </c>
    </row>
    <row r="195" spans="1:1" x14ac:dyDescent="0.25">
      <c r="A195" s="2" t="s">
        <v>1953</v>
      </c>
    </row>
    <row r="196" spans="1:1" x14ac:dyDescent="0.25">
      <c r="A196" s="2" t="s">
        <v>2113</v>
      </c>
    </row>
    <row r="197" spans="1:1" x14ac:dyDescent="0.25">
      <c r="A197" s="2" t="s">
        <v>2320</v>
      </c>
    </row>
    <row r="198" spans="1:1" x14ac:dyDescent="0.25">
      <c r="A198" s="2" t="s">
        <v>2257</v>
      </c>
    </row>
    <row r="199" spans="1:1" x14ac:dyDescent="0.25">
      <c r="A199" s="2" t="s">
        <v>2298</v>
      </c>
    </row>
    <row r="200" spans="1:1" x14ac:dyDescent="0.25">
      <c r="A200" s="2" t="s">
        <v>2204</v>
      </c>
    </row>
    <row r="201" spans="1:1" x14ac:dyDescent="0.25">
      <c r="A201" s="2" t="s">
        <v>1960</v>
      </c>
    </row>
    <row r="202" spans="1:1" x14ac:dyDescent="0.25">
      <c r="A202" s="2" t="s">
        <v>1593</v>
      </c>
    </row>
    <row r="203" spans="1:1" x14ac:dyDescent="0.25">
      <c r="A203" s="2" t="s">
        <v>1771</v>
      </c>
    </row>
    <row r="204" spans="1:1" x14ac:dyDescent="0.25">
      <c r="A204" s="2" t="s">
        <v>1582</v>
      </c>
    </row>
    <row r="205" spans="1:1" x14ac:dyDescent="0.25">
      <c r="A205" s="2" t="s">
        <v>1811</v>
      </c>
    </row>
    <row r="206" spans="1:1" x14ac:dyDescent="0.25">
      <c r="A206" s="2" t="s">
        <v>1764</v>
      </c>
    </row>
    <row r="207" spans="1:1" x14ac:dyDescent="0.25">
      <c r="A207" s="2" t="s">
        <v>1567</v>
      </c>
    </row>
    <row r="208" spans="1:1" x14ac:dyDescent="0.25">
      <c r="A208" s="2" t="s">
        <v>1599</v>
      </c>
    </row>
    <row r="209" spans="1:1" x14ac:dyDescent="0.25">
      <c r="A209" s="2" t="s">
        <v>1689</v>
      </c>
    </row>
    <row r="210" spans="1:1" x14ac:dyDescent="0.25">
      <c r="A210" s="2" t="s">
        <v>1600</v>
      </c>
    </row>
    <row r="211" spans="1:1" x14ac:dyDescent="0.25">
      <c r="A211" s="2" t="s">
        <v>1696</v>
      </c>
    </row>
    <row r="212" spans="1:1" x14ac:dyDescent="0.25">
      <c r="A212" s="2" t="s">
        <v>1591</v>
      </c>
    </row>
    <row r="213" spans="1:1" x14ac:dyDescent="0.25">
      <c r="A213" s="2" t="s">
        <v>1570</v>
      </c>
    </row>
    <row r="214" spans="1:1" x14ac:dyDescent="0.25">
      <c r="A214" s="2" t="s">
        <v>1676</v>
      </c>
    </row>
    <row r="215" spans="1:1" x14ac:dyDescent="0.25">
      <c r="A215" s="2" t="s">
        <v>2100</v>
      </c>
    </row>
    <row r="216" spans="1:1" x14ac:dyDescent="0.25">
      <c r="A216" s="2" t="s">
        <v>2039</v>
      </c>
    </row>
    <row r="217" spans="1:1" x14ac:dyDescent="0.25">
      <c r="A217" s="2" t="s">
        <v>1721</v>
      </c>
    </row>
    <row r="218" spans="1:1" x14ac:dyDescent="0.25">
      <c r="A218" s="2" t="s">
        <v>2250</v>
      </c>
    </row>
    <row r="219" spans="1:1" x14ac:dyDescent="0.25">
      <c r="A219" s="2" t="s">
        <v>1961</v>
      </c>
    </row>
    <row r="220" spans="1:1" x14ac:dyDescent="0.25">
      <c r="A220" s="2" t="s">
        <v>1944</v>
      </c>
    </row>
    <row r="221" spans="1:1" x14ac:dyDescent="0.25">
      <c r="A221" s="2" t="s">
        <v>1951</v>
      </c>
    </row>
    <row r="222" spans="1:1" x14ac:dyDescent="0.25">
      <c r="A222" s="2" t="s">
        <v>2209</v>
      </c>
    </row>
    <row r="223" spans="1:1" x14ac:dyDescent="0.25">
      <c r="A223" s="2" t="s">
        <v>1936</v>
      </c>
    </row>
    <row r="224" spans="1:1" x14ac:dyDescent="0.25">
      <c r="A224" s="2" t="s">
        <v>1997</v>
      </c>
    </row>
    <row r="225" spans="1:1" x14ac:dyDescent="0.25">
      <c r="A225" s="2" t="s">
        <v>2066</v>
      </c>
    </row>
    <row r="226" spans="1:1" x14ac:dyDescent="0.25">
      <c r="A226" s="2" t="s">
        <v>1988</v>
      </c>
    </row>
    <row r="227" spans="1:1" x14ac:dyDescent="0.25">
      <c r="A227" s="2" t="s">
        <v>1342</v>
      </c>
    </row>
    <row r="228" spans="1:1" x14ac:dyDescent="0.25">
      <c r="A228" s="2" t="s">
        <v>1824</v>
      </c>
    </row>
    <row r="229" spans="1:1" x14ac:dyDescent="0.25">
      <c r="A229" s="2" t="s">
        <v>2256</v>
      </c>
    </row>
    <row r="230" spans="1:1" x14ac:dyDescent="0.25">
      <c r="A230" s="2" t="s">
        <v>1293</v>
      </c>
    </row>
    <row r="231" spans="1:1" x14ac:dyDescent="0.25">
      <c r="A231" s="2" t="s">
        <v>1660</v>
      </c>
    </row>
    <row r="232" spans="1:1" x14ac:dyDescent="0.25">
      <c r="A232" s="2" t="s">
        <v>1786</v>
      </c>
    </row>
    <row r="233" spans="1:1" x14ac:dyDescent="0.25">
      <c r="A233" s="2" t="s">
        <v>1800</v>
      </c>
    </row>
    <row r="234" spans="1:1" x14ac:dyDescent="0.25">
      <c r="A234" s="2" t="s">
        <v>1864</v>
      </c>
    </row>
    <row r="235" spans="1:1" x14ac:dyDescent="0.25">
      <c r="A235" s="2" t="s">
        <v>1880</v>
      </c>
    </row>
    <row r="236" spans="1:1" x14ac:dyDescent="0.25">
      <c r="A236" s="2" t="s">
        <v>2245</v>
      </c>
    </row>
    <row r="237" spans="1:1" x14ac:dyDescent="0.25">
      <c r="A237" s="2" t="s">
        <v>2258</v>
      </c>
    </row>
    <row r="238" spans="1:1" x14ac:dyDescent="0.25">
      <c r="A238" s="2" t="s">
        <v>2220</v>
      </c>
    </row>
    <row r="239" spans="1:1" x14ac:dyDescent="0.25">
      <c r="A239" s="2" t="s">
        <v>2139</v>
      </c>
    </row>
    <row r="240" spans="1:1" x14ac:dyDescent="0.25">
      <c r="A240" s="2" t="s">
        <v>1882</v>
      </c>
    </row>
    <row r="241" spans="1:1" x14ac:dyDescent="0.25">
      <c r="A241" s="2" t="s">
        <v>1851</v>
      </c>
    </row>
    <row r="242" spans="1:1" x14ac:dyDescent="0.25">
      <c r="A242" s="2" t="s">
        <v>1815</v>
      </c>
    </row>
    <row r="243" spans="1:1" x14ac:dyDescent="0.25">
      <c r="A243" s="2" t="s">
        <v>1329</v>
      </c>
    </row>
    <row r="244" spans="1:1" x14ac:dyDescent="0.25">
      <c r="A244" s="2" t="s">
        <v>2268</v>
      </c>
    </row>
    <row r="245" spans="1:1" x14ac:dyDescent="0.25">
      <c r="A245" s="2" t="s">
        <v>1881</v>
      </c>
    </row>
    <row r="246" spans="1:1" x14ac:dyDescent="0.25">
      <c r="A246" s="2" t="s">
        <v>1601</v>
      </c>
    </row>
    <row r="247" spans="1:1" x14ac:dyDescent="0.25">
      <c r="A247" s="2" t="s">
        <v>1585</v>
      </c>
    </row>
    <row r="248" spans="1:1" x14ac:dyDescent="0.25">
      <c r="A248" s="2" t="s">
        <v>1840</v>
      </c>
    </row>
    <row r="249" spans="1:1" x14ac:dyDescent="0.25">
      <c r="A249" s="2" t="s">
        <v>1661</v>
      </c>
    </row>
    <row r="250" spans="1:1" x14ac:dyDescent="0.25">
      <c r="A250" s="2" t="s">
        <v>2151</v>
      </c>
    </row>
    <row r="251" spans="1:1" x14ac:dyDescent="0.25">
      <c r="A251" s="2" t="s">
        <v>2173</v>
      </c>
    </row>
    <row r="252" spans="1:1" x14ac:dyDescent="0.25">
      <c r="A252" s="2" t="s">
        <v>2263</v>
      </c>
    </row>
    <row r="253" spans="1:1" x14ac:dyDescent="0.25">
      <c r="A253" s="2" t="s">
        <v>1651</v>
      </c>
    </row>
    <row r="254" spans="1:1" x14ac:dyDescent="0.25">
      <c r="A254" s="2" t="s">
        <v>1877</v>
      </c>
    </row>
    <row r="255" spans="1:1" x14ac:dyDescent="0.25">
      <c r="A255" s="2" t="s">
        <v>1854</v>
      </c>
    </row>
    <row r="256" spans="1:1" x14ac:dyDescent="0.25">
      <c r="A256" s="2" t="s">
        <v>1705</v>
      </c>
    </row>
    <row r="257" spans="1:1" x14ac:dyDescent="0.25">
      <c r="A257" s="2" t="s">
        <v>1792</v>
      </c>
    </row>
    <row r="258" spans="1:1" x14ac:dyDescent="0.25">
      <c r="A258" s="2" t="s">
        <v>1791</v>
      </c>
    </row>
    <row r="259" spans="1:1" x14ac:dyDescent="0.25">
      <c r="A259" s="2" t="s">
        <v>1572</v>
      </c>
    </row>
    <row r="260" spans="1:1" x14ac:dyDescent="0.25">
      <c r="A260" s="2" t="s">
        <v>1838</v>
      </c>
    </row>
    <row r="261" spans="1:1" x14ac:dyDescent="0.25">
      <c r="A261" s="2" t="s">
        <v>1756</v>
      </c>
    </row>
    <row r="262" spans="1:1" x14ac:dyDescent="0.25">
      <c r="A262" s="2" t="s">
        <v>1724</v>
      </c>
    </row>
    <row r="263" spans="1:1" x14ac:dyDescent="0.25">
      <c r="A263" s="2" t="s">
        <v>1622</v>
      </c>
    </row>
    <row r="264" spans="1:1" x14ac:dyDescent="0.25">
      <c r="A264" s="2" t="s">
        <v>1633</v>
      </c>
    </row>
    <row r="265" spans="1:1" x14ac:dyDescent="0.25">
      <c r="A265" s="2" t="s">
        <v>2007</v>
      </c>
    </row>
    <row r="266" spans="1:1" x14ac:dyDescent="0.25">
      <c r="A266" s="2" t="s">
        <v>1296</v>
      </c>
    </row>
    <row r="267" spans="1:1" x14ac:dyDescent="0.25">
      <c r="A267" s="2" t="s">
        <v>1221</v>
      </c>
    </row>
    <row r="268" spans="1:1" x14ac:dyDescent="0.25">
      <c r="A268" s="2" t="s">
        <v>2043</v>
      </c>
    </row>
    <row r="269" spans="1:1" x14ac:dyDescent="0.25">
      <c r="A269" s="2" t="s">
        <v>1774</v>
      </c>
    </row>
    <row r="270" spans="1:1" x14ac:dyDescent="0.25">
      <c r="A270" s="2" t="s">
        <v>2014</v>
      </c>
    </row>
    <row r="271" spans="1:1" x14ac:dyDescent="0.25">
      <c r="A271" s="2" t="s">
        <v>1334</v>
      </c>
    </row>
    <row r="272" spans="1:1" x14ac:dyDescent="0.25">
      <c r="A272" s="2" t="s">
        <v>1907</v>
      </c>
    </row>
    <row r="273" spans="1:1" x14ac:dyDescent="0.25">
      <c r="A273" s="2" t="s">
        <v>1217</v>
      </c>
    </row>
    <row r="274" spans="1:1" x14ac:dyDescent="0.25">
      <c r="A274" s="2" t="s">
        <v>2136</v>
      </c>
    </row>
    <row r="275" spans="1:1" x14ac:dyDescent="0.25">
      <c r="A275" s="2" t="s">
        <v>1952</v>
      </c>
    </row>
    <row r="276" spans="1:1" x14ac:dyDescent="0.25">
      <c r="A276" s="2" t="s">
        <v>2208</v>
      </c>
    </row>
    <row r="277" spans="1:1" x14ac:dyDescent="0.25">
      <c r="A277" s="2" t="s">
        <v>1969</v>
      </c>
    </row>
    <row r="278" spans="1:1" x14ac:dyDescent="0.25">
      <c r="A278" s="2" t="s">
        <v>2290</v>
      </c>
    </row>
    <row r="279" spans="1:1" x14ac:dyDescent="0.25">
      <c r="A279" s="2" t="s">
        <v>2145</v>
      </c>
    </row>
    <row r="280" spans="1:1" x14ac:dyDescent="0.25">
      <c r="A280" s="2" t="s">
        <v>2003</v>
      </c>
    </row>
    <row r="281" spans="1:1" x14ac:dyDescent="0.25">
      <c r="A281" s="2" t="s">
        <v>2196</v>
      </c>
    </row>
    <row r="282" spans="1:1" x14ac:dyDescent="0.25">
      <c r="A282" s="2" t="s">
        <v>1985</v>
      </c>
    </row>
    <row r="283" spans="1:1" x14ac:dyDescent="0.25">
      <c r="A283" s="2" t="s">
        <v>1980</v>
      </c>
    </row>
    <row r="284" spans="1:1" x14ac:dyDescent="0.25">
      <c r="A284" s="2" t="s">
        <v>2148</v>
      </c>
    </row>
    <row r="285" spans="1:1" x14ac:dyDescent="0.25">
      <c r="A285" s="2" t="s">
        <v>2013</v>
      </c>
    </row>
    <row r="286" spans="1:1" x14ac:dyDescent="0.25">
      <c r="A286" s="2" t="s">
        <v>2122</v>
      </c>
    </row>
    <row r="287" spans="1:1" x14ac:dyDescent="0.25">
      <c r="A287" s="2" t="s">
        <v>2059</v>
      </c>
    </row>
    <row r="288" spans="1:1" x14ac:dyDescent="0.25">
      <c r="A288" s="2" t="s">
        <v>2205</v>
      </c>
    </row>
    <row r="289" spans="1:1" x14ac:dyDescent="0.25">
      <c r="A289" s="2" t="s">
        <v>1214</v>
      </c>
    </row>
    <row r="290" spans="1:1" x14ac:dyDescent="0.25">
      <c r="A290" s="2" t="s">
        <v>1723</v>
      </c>
    </row>
    <row r="291" spans="1:1" x14ac:dyDescent="0.25">
      <c r="A291" s="2" t="s">
        <v>1883</v>
      </c>
    </row>
    <row r="292" spans="1:1" x14ac:dyDescent="0.25">
      <c r="A292" s="2" t="s">
        <v>1692</v>
      </c>
    </row>
    <row r="293" spans="1:1" x14ac:dyDescent="0.25">
      <c r="A293" s="2" t="s">
        <v>1307</v>
      </c>
    </row>
    <row r="294" spans="1:1" x14ac:dyDescent="0.25">
      <c r="A294" s="2" t="s">
        <v>2168</v>
      </c>
    </row>
    <row r="295" spans="1:1" x14ac:dyDescent="0.25">
      <c r="A295" s="2" t="s">
        <v>1351</v>
      </c>
    </row>
    <row r="296" spans="1:1" x14ac:dyDescent="0.25">
      <c r="A296" s="2" t="s">
        <v>1722</v>
      </c>
    </row>
    <row r="297" spans="1:1" x14ac:dyDescent="0.25">
      <c r="A297" s="2" t="s">
        <v>1353</v>
      </c>
    </row>
    <row r="298" spans="1:1" x14ac:dyDescent="0.25">
      <c r="A298" s="2" t="s">
        <v>1209</v>
      </c>
    </row>
    <row r="299" spans="1:1" x14ac:dyDescent="0.25">
      <c r="A299" s="2" t="s">
        <v>1568</v>
      </c>
    </row>
    <row r="300" spans="1:1" x14ac:dyDescent="0.25">
      <c r="A300" s="2" t="s">
        <v>1569</v>
      </c>
    </row>
    <row r="301" spans="1:1" x14ac:dyDescent="0.25">
      <c r="A301" s="2" t="s">
        <v>1576</v>
      </c>
    </row>
    <row r="302" spans="1:1" x14ac:dyDescent="0.25">
      <c r="A302" s="2" t="s">
        <v>1592</v>
      </c>
    </row>
    <row r="303" spans="1:1" x14ac:dyDescent="0.25">
      <c r="A303" s="2" t="s">
        <v>2155</v>
      </c>
    </row>
    <row r="304" spans="1:1" x14ac:dyDescent="0.25">
      <c r="A304" s="2" t="s">
        <v>1631</v>
      </c>
    </row>
    <row r="305" spans="1:1" x14ac:dyDescent="0.25">
      <c r="A305" s="2" t="s">
        <v>1837</v>
      </c>
    </row>
    <row r="306" spans="1:1" x14ac:dyDescent="0.25">
      <c r="A306" s="2" t="s">
        <v>1704</v>
      </c>
    </row>
    <row r="307" spans="1:1" x14ac:dyDescent="0.25">
      <c r="A307" s="2" t="s">
        <v>1587</v>
      </c>
    </row>
    <row r="308" spans="1:1" x14ac:dyDescent="0.25">
      <c r="A308" s="2" t="s">
        <v>1742</v>
      </c>
    </row>
    <row r="309" spans="1:1" x14ac:dyDescent="0.25">
      <c r="A309" s="2" t="s">
        <v>1776</v>
      </c>
    </row>
    <row r="310" spans="1:1" x14ac:dyDescent="0.25">
      <c r="A310" s="2" t="s">
        <v>2107</v>
      </c>
    </row>
    <row r="311" spans="1:1" x14ac:dyDescent="0.25">
      <c r="A311" s="2" t="s">
        <v>1433</v>
      </c>
    </row>
    <row r="312" spans="1:1" x14ac:dyDescent="0.25">
      <c r="A312" s="2" t="s">
        <v>1681</v>
      </c>
    </row>
    <row r="313" spans="1:1" x14ac:dyDescent="0.25">
      <c r="A313" s="2" t="s">
        <v>1808</v>
      </c>
    </row>
    <row r="314" spans="1:1" x14ac:dyDescent="0.25">
      <c r="A314" s="2" t="s">
        <v>1799</v>
      </c>
    </row>
    <row r="315" spans="1:1" x14ac:dyDescent="0.25">
      <c r="A315" s="2" t="s">
        <v>1288</v>
      </c>
    </row>
    <row r="316" spans="1:1" x14ac:dyDescent="0.25">
      <c r="A316" s="2" t="s">
        <v>1648</v>
      </c>
    </row>
    <row r="317" spans="1:1" x14ac:dyDescent="0.25">
      <c r="A317" s="2" t="s">
        <v>1624</v>
      </c>
    </row>
    <row r="318" spans="1:1" x14ac:dyDescent="0.25">
      <c r="A318" s="2" t="s">
        <v>1745</v>
      </c>
    </row>
    <row r="319" spans="1:1" x14ac:dyDescent="0.25">
      <c r="A319" s="2" t="s">
        <v>1252</v>
      </c>
    </row>
    <row r="320" spans="1:1" x14ac:dyDescent="0.25">
      <c r="A320" s="2" t="s">
        <v>1571</v>
      </c>
    </row>
    <row r="321" spans="1:1" x14ac:dyDescent="0.25">
      <c r="A321" s="2" t="s">
        <v>1637</v>
      </c>
    </row>
    <row r="322" spans="1:1" x14ac:dyDescent="0.25">
      <c r="A322" s="2" t="s">
        <v>1885</v>
      </c>
    </row>
    <row r="323" spans="1:1" x14ac:dyDescent="0.25">
      <c r="A323" s="2" t="s">
        <v>1707</v>
      </c>
    </row>
    <row r="324" spans="1:1" x14ac:dyDescent="0.25">
      <c r="A324" s="2" t="s">
        <v>1550</v>
      </c>
    </row>
    <row r="325" spans="1:1" x14ac:dyDescent="0.25">
      <c r="A325" s="2" t="s">
        <v>2277</v>
      </c>
    </row>
    <row r="326" spans="1:1" x14ac:dyDescent="0.25">
      <c r="A326" s="2" t="s">
        <v>2297</v>
      </c>
    </row>
    <row r="327" spans="1:1" x14ac:dyDescent="0.25">
      <c r="A327" s="2" t="s">
        <v>1857</v>
      </c>
    </row>
    <row r="328" spans="1:1" x14ac:dyDescent="0.25">
      <c r="A328" s="2" t="s">
        <v>1699</v>
      </c>
    </row>
    <row r="329" spans="1:1" x14ac:dyDescent="0.25">
      <c r="A329" s="2" t="s">
        <v>2163</v>
      </c>
    </row>
    <row r="330" spans="1:1" x14ac:dyDescent="0.25">
      <c r="A330" s="2" t="s">
        <v>1259</v>
      </c>
    </row>
    <row r="331" spans="1:1" x14ac:dyDescent="0.25">
      <c r="A331" s="2" t="s">
        <v>1223</v>
      </c>
    </row>
    <row r="332" spans="1:1" x14ac:dyDescent="0.25">
      <c r="A332" s="2" t="s">
        <v>1330</v>
      </c>
    </row>
    <row r="333" spans="1:1" x14ac:dyDescent="0.25">
      <c r="A333" s="2" t="s">
        <v>1548</v>
      </c>
    </row>
    <row r="334" spans="1:1" x14ac:dyDescent="0.25">
      <c r="A334" s="2" t="s">
        <v>1481</v>
      </c>
    </row>
    <row r="335" spans="1:1" x14ac:dyDescent="0.25">
      <c r="A335" s="2" t="s">
        <v>1422</v>
      </c>
    </row>
    <row r="336" spans="1:1" x14ac:dyDescent="0.25">
      <c r="A336" s="2" t="s">
        <v>1488</v>
      </c>
    </row>
    <row r="337" spans="1:1" x14ac:dyDescent="0.25">
      <c r="A337" s="2" t="s">
        <v>2252</v>
      </c>
    </row>
    <row r="338" spans="1:1" x14ac:dyDescent="0.25">
      <c r="A338" s="2" t="s">
        <v>1511</v>
      </c>
    </row>
    <row r="339" spans="1:1" x14ac:dyDescent="0.25">
      <c r="A339" s="2" t="s">
        <v>2074</v>
      </c>
    </row>
    <row r="340" spans="1:1" x14ac:dyDescent="0.25">
      <c r="A340" s="2" t="s">
        <v>1754</v>
      </c>
    </row>
    <row r="341" spans="1:1" x14ac:dyDescent="0.25">
      <c r="A341" s="2" t="s">
        <v>1746</v>
      </c>
    </row>
    <row r="342" spans="1:1" x14ac:dyDescent="0.25">
      <c r="A342" s="2" t="s">
        <v>2079</v>
      </c>
    </row>
    <row r="343" spans="1:1" x14ac:dyDescent="0.25">
      <c r="A343" s="2" t="s">
        <v>1617</v>
      </c>
    </row>
    <row r="344" spans="1:1" x14ac:dyDescent="0.25">
      <c r="A344" s="2" t="s">
        <v>2224</v>
      </c>
    </row>
    <row r="345" spans="1:1" x14ac:dyDescent="0.25">
      <c r="A345" s="2" t="s">
        <v>1718</v>
      </c>
    </row>
    <row r="346" spans="1:1" x14ac:dyDescent="0.25">
      <c r="A346" s="2" t="s">
        <v>2096</v>
      </c>
    </row>
    <row r="347" spans="1:1" x14ac:dyDescent="0.25">
      <c r="A347" s="2" t="s">
        <v>1812</v>
      </c>
    </row>
    <row r="348" spans="1:1" x14ac:dyDescent="0.25">
      <c r="A348" s="2" t="s">
        <v>1405</v>
      </c>
    </row>
    <row r="349" spans="1:1" x14ac:dyDescent="0.25">
      <c r="A349" s="2" t="s">
        <v>2116</v>
      </c>
    </row>
    <row r="350" spans="1:1" x14ac:dyDescent="0.25">
      <c r="A350" s="2" t="s">
        <v>2212</v>
      </c>
    </row>
    <row r="351" spans="1:1" x14ac:dyDescent="0.25">
      <c r="A351" s="2" t="s">
        <v>2137</v>
      </c>
    </row>
    <row r="352" spans="1:1" x14ac:dyDescent="0.25">
      <c r="A352" s="2" t="s">
        <v>2301</v>
      </c>
    </row>
    <row r="353" spans="1:1" x14ac:dyDescent="0.25">
      <c r="A353" s="2" t="s">
        <v>2034</v>
      </c>
    </row>
    <row r="354" spans="1:1" x14ac:dyDescent="0.25">
      <c r="A354" s="2" t="s">
        <v>1966</v>
      </c>
    </row>
    <row r="355" spans="1:1" x14ac:dyDescent="0.25">
      <c r="A355" s="2" t="s">
        <v>2022</v>
      </c>
    </row>
    <row r="356" spans="1:1" x14ac:dyDescent="0.25">
      <c r="A356" s="2" t="s">
        <v>1594</v>
      </c>
    </row>
    <row r="357" spans="1:1" x14ac:dyDescent="0.25">
      <c r="A357" s="2" t="s">
        <v>1671</v>
      </c>
    </row>
    <row r="358" spans="1:1" x14ac:dyDescent="0.25">
      <c r="A358" s="2" t="s">
        <v>1393</v>
      </c>
    </row>
    <row r="359" spans="1:1" x14ac:dyDescent="0.25">
      <c r="A359" s="2" t="s">
        <v>1817</v>
      </c>
    </row>
    <row r="360" spans="1:1" x14ac:dyDescent="0.25">
      <c r="A360" s="2" t="s">
        <v>2038</v>
      </c>
    </row>
    <row r="361" spans="1:1" x14ac:dyDescent="0.25">
      <c r="A361" s="2" t="s">
        <v>1743</v>
      </c>
    </row>
    <row r="362" spans="1:1" x14ac:dyDescent="0.25">
      <c r="A362" s="2" t="s">
        <v>2084</v>
      </c>
    </row>
    <row r="363" spans="1:1" x14ac:dyDescent="0.25">
      <c r="A363" s="2" t="s">
        <v>1442</v>
      </c>
    </row>
    <row r="364" spans="1:1" x14ac:dyDescent="0.25">
      <c r="A364" s="2" t="s">
        <v>1670</v>
      </c>
    </row>
    <row r="365" spans="1:1" x14ac:dyDescent="0.25">
      <c r="A365" s="2" t="s">
        <v>1535</v>
      </c>
    </row>
    <row r="366" spans="1:1" x14ac:dyDescent="0.25">
      <c r="A366" s="2" t="s">
        <v>1429</v>
      </c>
    </row>
    <row r="367" spans="1:1" x14ac:dyDescent="0.25">
      <c r="A367" s="2" t="s">
        <v>1738</v>
      </c>
    </row>
    <row r="368" spans="1:1" x14ac:dyDescent="0.25">
      <c r="A368" s="2" t="s">
        <v>1769</v>
      </c>
    </row>
    <row r="369" spans="1:1" x14ac:dyDescent="0.25">
      <c r="A369" s="2" t="s">
        <v>1547</v>
      </c>
    </row>
    <row r="370" spans="1:1" x14ac:dyDescent="0.25">
      <c r="A370" s="2" t="s">
        <v>207</v>
      </c>
    </row>
    <row r="371" spans="1:1" x14ac:dyDescent="0.25">
      <c r="A371" s="2" t="s">
        <v>1276</v>
      </c>
    </row>
    <row r="372" spans="1:1" x14ac:dyDescent="0.25">
      <c r="A372" s="2" t="s">
        <v>1185</v>
      </c>
    </row>
    <row r="373" spans="1:1" x14ac:dyDescent="0.25">
      <c r="A373" s="2" t="s">
        <v>1274</v>
      </c>
    </row>
    <row r="374" spans="1:1" x14ac:dyDescent="0.25">
      <c r="A374" s="2" t="s">
        <v>1339</v>
      </c>
    </row>
    <row r="375" spans="1:1" x14ac:dyDescent="0.25">
      <c r="A375" s="2" t="s">
        <v>1502</v>
      </c>
    </row>
    <row r="376" spans="1:1" x14ac:dyDescent="0.25">
      <c r="A376" s="2" t="s">
        <v>1290</v>
      </c>
    </row>
    <row r="377" spans="1:1" x14ac:dyDescent="0.25">
      <c r="A377" s="2" t="s">
        <v>1195</v>
      </c>
    </row>
    <row r="378" spans="1:1" x14ac:dyDescent="0.25">
      <c r="A378" s="2" t="s">
        <v>1538</v>
      </c>
    </row>
    <row r="379" spans="1:1" x14ac:dyDescent="0.25">
      <c r="A379" s="2" t="s">
        <v>1866</v>
      </c>
    </row>
    <row r="380" spans="1:1" x14ac:dyDescent="0.25">
      <c r="A380" s="2" t="s">
        <v>1634</v>
      </c>
    </row>
    <row r="381" spans="1:1" x14ac:dyDescent="0.25">
      <c r="A381" s="2" t="s">
        <v>2247</v>
      </c>
    </row>
    <row r="382" spans="1:1" x14ac:dyDescent="0.25">
      <c r="A382" s="2" t="s">
        <v>2125</v>
      </c>
    </row>
    <row r="383" spans="1:1" x14ac:dyDescent="0.25">
      <c r="A383" s="2" t="s">
        <v>1257</v>
      </c>
    </row>
    <row r="384" spans="1:1" x14ac:dyDescent="0.25">
      <c r="A384" s="2" t="s">
        <v>1206</v>
      </c>
    </row>
    <row r="385" spans="1:1" x14ac:dyDescent="0.25">
      <c r="A385" s="2" t="s">
        <v>1975</v>
      </c>
    </row>
    <row r="386" spans="1:1" x14ac:dyDescent="0.25">
      <c r="A386" s="2" t="s">
        <v>1872</v>
      </c>
    </row>
    <row r="387" spans="1:1" x14ac:dyDescent="0.25">
      <c r="A387" s="2" t="s">
        <v>1863</v>
      </c>
    </row>
    <row r="388" spans="1:1" x14ac:dyDescent="0.25">
      <c r="A388" s="2" t="s">
        <v>1702</v>
      </c>
    </row>
    <row r="389" spans="1:1" x14ac:dyDescent="0.25">
      <c r="A389" s="2" t="s">
        <v>1598</v>
      </c>
    </row>
    <row r="390" spans="1:1" x14ac:dyDescent="0.25">
      <c r="A390" s="2" t="s">
        <v>1841</v>
      </c>
    </row>
    <row r="391" spans="1:1" x14ac:dyDescent="0.25">
      <c r="A391" s="2" t="s">
        <v>1740</v>
      </c>
    </row>
    <row r="392" spans="1:1" x14ac:dyDescent="0.25">
      <c r="A392" s="2" t="s">
        <v>1698</v>
      </c>
    </row>
    <row r="393" spans="1:1" x14ac:dyDescent="0.25">
      <c r="A393" s="2" t="s">
        <v>1716</v>
      </c>
    </row>
    <row r="394" spans="1:1" x14ac:dyDescent="0.25">
      <c r="A394" s="2" t="s">
        <v>1644</v>
      </c>
    </row>
    <row r="395" spans="1:1" x14ac:dyDescent="0.25">
      <c r="A395" s="2" t="s">
        <v>1589</v>
      </c>
    </row>
    <row r="396" spans="1:1" x14ac:dyDescent="0.25">
      <c r="A396" s="2" t="s">
        <v>1712</v>
      </c>
    </row>
    <row r="397" spans="1:1" x14ac:dyDescent="0.25">
      <c r="A397" s="2" t="s">
        <v>2276</v>
      </c>
    </row>
    <row r="398" spans="1:1" x14ac:dyDescent="0.25">
      <c r="A398" s="2" t="s">
        <v>1896</v>
      </c>
    </row>
    <row r="399" spans="1:1" x14ac:dyDescent="0.25">
      <c r="A399" s="2" t="s">
        <v>1457</v>
      </c>
    </row>
    <row r="400" spans="1:1" x14ac:dyDescent="0.25">
      <c r="A400" s="2" t="s">
        <v>2187</v>
      </c>
    </row>
    <row r="401" spans="1:1" x14ac:dyDescent="0.25">
      <c r="A401" s="2" t="s">
        <v>2213</v>
      </c>
    </row>
    <row r="402" spans="1:1" x14ac:dyDescent="0.25">
      <c r="A402" s="2" t="s">
        <v>2299</v>
      </c>
    </row>
    <row r="403" spans="1:1" x14ac:dyDescent="0.25">
      <c r="A403" s="2" t="s">
        <v>1910</v>
      </c>
    </row>
    <row r="404" spans="1:1" x14ac:dyDescent="0.25">
      <c r="A404" s="2" t="s">
        <v>2098</v>
      </c>
    </row>
    <row r="405" spans="1:1" x14ac:dyDescent="0.25">
      <c r="A405" s="2" t="s">
        <v>1930</v>
      </c>
    </row>
    <row r="406" spans="1:1" x14ac:dyDescent="0.25">
      <c r="A406" s="2" t="s">
        <v>2234</v>
      </c>
    </row>
    <row r="407" spans="1:1" x14ac:dyDescent="0.25">
      <c r="A407" s="2" t="s">
        <v>2179</v>
      </c>
    </row>
    <row r="408" spans="1:1" x14ac:dyDescent="0.25">
      <c r="A408" s="2" t="s">
        <v>2169</v>
      </c>
    </row>
    <row r="409" spans="1:1" x14ac:dyDescent="0.25">
      <c r="A409" s="2" t="s">
        <v>2063</v>
      </c>
    </row>
    <row r="410" spans="1:1" x14ac:dyDescent="0.25">
      <c r="A410" s="2" t="s">
        <v>2228</v>
      </c>
    </row>
    <row r="411" spans="1:1" x14ac:dyDescent="0.25">
      <c r="A411" s="2" t="s">
        <v>1925</v>
      </c>
    </row>
    <row r="412" spans="1:1" x14ac:dyDescent="0.25">
      <c r="A412" s="2" t="s">
        <v>2028</v>
      </c>
    </row>
    <row r="413" spans="1:1" x14ac:dyDescent="0.25">
      <c r="A413" s="2" t="s">
        <v>2090</v>
      </c>
    </row>
    <row r="414" spans="1:1" x14ac:dyDescent="0.25">
      <c r="A414" s="2" t="s">
        <v>2183</v>
      </c>
    </row>
    <row r="415" spans="1:1" x14ac:dyDescent="0.25">
      <c r="A415" s="2" t="s">
        <v>1908</v>
      </c>
    </row>
    <row r="416" spans="1:1" x14ac:dyDescent="0.25">
      <c r="A416" s="2" t="s">
        <v>2069</v>
      </c>
    </row>
    <row r="417" spans="1:1" x14ac:dyDescent="0.25">
      <c r="A417" s="2" t="s">
        <v>2319</v>
      </c>
    </row>
    <row r="418" spans="1:1" x14ac:dyDescent="0.25">
      <c r="A418" s="2" t="s">
        <v>2288</v>
      </c>
    </row>
    <row r="419" spans="1:1" x14ac:dyDescent="0.25">
      <c r="A419" s="2" t="s">
        <v>2141</v>
      </c>
    </row>
    <row r="420" spans="1:1" x14ac:dyDescent="0.25">
      <c r="A420" s="2" t="s">
        <v>1860</v>
      </c>
    </row>
    <row r="421" spans="1:1" x14ac:dyDescent="0.25">
      <c r="A421" s="2" t="s">
        <v>1976</v>
      </c>
    </row>
    <row r="422" spans="1:1" x14ac:dyDescent="0.25">
      <c r="A422" s="2" t="s">
        <v>2191</v>
      </c>
    </row>
    <row r="423" spans="1:1" x14ac:dyDescent="0.25">
      <c r="A423" s="2" t="s">
        <v>1958</v>
      </c>
    </row>
    <row r="424" spans="1:1" x14ac:dyDescent="0.25">
      <c r="A424" s="2" t="s">
        <v>2047</v>
      </c>
    </row>
    <row r="425" spans="1:1" x14ac:dyDescent="0.25">
      <c r="A425" s="2" t="s">
        <v>2303</v>
      </c>
    </row>
    <row r="426" spans="1:1" x14ac:dyDescent="0.25">
      <c r="A426" s="2" t="s">
        <v>1325</v>
      </c>
    </row>
    <row r="427" spans="1:1" x14ac:dyDescent="0.25">
      <c r="A427" s="2" t="s">
        <v>2011</v>
      </c>
    </row>
    <row r="428" spans="1:1" x14ac:dyDescent="0.25">
      <c r="A428" s="2" t="s">
        <v>2117</v>
      </c>
    </row>
    <row r="429" spans="1:1" x14ac:dyDescent="0.25">
      <c r="A429" s="2" t="s">
        <v>1228</v>
      </c>
    </row>
    <row r="430" spans="1:1" x14ac:dyDescent="0.25">
      <c r="A430" s="2" t="s">
        <v>1370</v>
      </c>
    </row>
    <row r="431" spans="1:1" x14ac:dyDescent="0.25">
      <c r="A431" s="2" t="s">
        <v>2026</v>
      </c>
    </row>
    <row r="432" spans="1:1" x14ac:dyDescent="0.25">
      <c r="A432" s="2" t="s">
        <v>2045</v>
      </c>
    </row>
    <row r="433" spans="1:1" x14ac:dyDescent="0.25">
      <c r="A433" s="2" t="s">
        <v>2131</v>
      </c>
    </row>
    <row r="434" spans="1:1" x14ac:dyDescent="0.25">
      <c r="A434" s="2" t="s">
        <v>1623</v>
      </c>
    </row>
    <row r="435" spans="1:1" x14ac:dyDescent="0.25">
      <c r="A435" s="2" t="s">
        <v>1829</v>
      </c>
    </row>
    <row r="436" spans="1:1" x14ac:dyDescent="0.25">
      <c r="A436" s="2" t="s">
        <v>1861</v>
      </c>
    </row>
    <row r="437" spans="1:1" x14ac:dyDescent="0.25">
      <c r="A437" s="2" t="s">
        <v>1629</v>
      </c>
    </row>
    <row r="438" spans="1:1" x14ac:dyDescent="0.25">
      <c r="A438" s="2" t="s">
        <v>1588</v>
      </c>
    </row>
    <row r="439" spans="1:1" x14ac:dyDescent="0.25">
      <c r="A439" s="2" t="s">
        <v>1775</v>
      </c>
    </row>
    <row r="440" spans="1:1" x14ac:dyDescent="0.25">
      <c r="A440" s="2" t="s">
        <v>1844</v>
      </c>
    </row>
    <row r="441" spans="1:1" x14ac:dyDescent="0.25">
      <c r="A441" s="2" t="s">
        <v>1878</v>
      </c>
    </row>
    <row r="442" spans="1:1" x14ac:dyDescent="0.25">
      <c r="A442" s="2" t="s">
        <v>1804</v>
      </c>
    </row>
    <row r="443" spans="1:1" x14ac:dyDescent="0.25">
      <c r="A443" s="2" t="s">
        <v>1871</v>
      </c>
    </row>
    <row r="444" spans="1:1" x14ac:dyDescent="0.25">
      <c r="A444" s="2" t="s">
        <v>1865</v>
      </c>
    </row>
    <row r="445" spans="1:1" x14ac:dyDescent="0.25">
      <c r="A445" s="2" t="s">
        <v>1687</v>
      </c>
    </row>
    <row r="446" spans="1:1" x14ac:dyDescent="0.25">
      <c r="A446" s="2" t="s">
        <v>1884</v>
      </c>
    </row>
    <row r="447" spans="1:1" x14ac:dyDescent="0.25">
      <c r="A447" s="2" t="s">
        <v>1564</v>
      </c>
    </row>
    <row r="448" spans="1:1" x14ac:dyDescent="0.25">
      <c r="A448" s="2" t="s">
        <v>1578</v>
      </c>
    </row>
    <row r="449" spans="1:1" x14ac:dyDescent="0.25">
      <c r="A449" s="2" t="s">
        <v>1752</v>
      </c>
    </row>
    <row r="450" spans="1:1" x14ac:dyDescent="0.25">
      <c r="A450" s="2" t="s">
        <v>1802</v>
      </c>
    </row>
    <row r="451" spans="1:1" x14ac:dyDescent="0.25">
      <c r="A451" s="2" t="s">
        <v>1565</v>
      </c>
    </row>
    <row r="452" spans="1:1" x14ac:dyDescent="0.25">
      <c r="A452" s="2" t="s">
        <v>1603</v>
      </c>
    </row>
    <row r="453" spans="1:1" x14ac:dyDescent="0.25">
      <c r="A453" s="2" t="s">
        <v>1713</v>
      </c>
    </row>
    <row r="454" spans="1:1" x14ac:dyDescent="0.25">
      <c r="A454" s="2" t="s">
        <v>2157</v>
      </c>
    </row>
    <row r="455" spans="1:1" x14ac:dyDescent="0.25">
      <c r="A455" s="2" t="s">
        <v>2126</v>
      </c>
    </row>
    <row r="456" spans="1:1" x14ac:dyDescent="0.25">
      <c r="A456" s="2" t="s">
        <v>1688</v>
      </c>
    </row>
    <row r="457" spans="1:1" x14ac:dyDescent="0.25">
      <c r="A457" s="2" t="s">
        <v>2120</v>
      </c>
    </row>
    <row r="458" spans="1:1" x14ac:dyDescent="0.25">
      <c r="A458" s="2" t="s">
        <v>2280</v>
      </c>
    </row>
    <row r="459" spans="1:1" x14ac:dyDescent="0.25">
      <c r="A459" s="2" t="s">
        <v>2260</v>
      </c>
    </row>
    <row r="460" spans="1:1" x14ac:dyDescent="0.25">
      <c r="A460" s="2" t="s">
        <v>2049</v>
      </c>
    </row>
    <row r="461" spans="1:1" x14ac:dyDescent="0.25">
      <c r="A461" s="2" t="s">
        <v>2283</v>
      </c>
    </row>
    <row r="462" spans="1:1" x14ac:dyDescent="0.25">
      <c r="A462" s="2" t="s">
        <v>2142</v>
      </c>
    </row>
    <row r="463" spans="1:1" x14ac:dyDescent="0.25">
      <c r="A463" s="2" t="s">
        <v>2181</v>
      </c>
    </row>
    <row r="464" spans="1:1" x14ac:dyDescent="0.25">
      <c r="A464" s="2" t="s">
        <v>1232</v>
      </c>
    </row>
    <row r="465" spans="1:1" x14ac:dyDescent="0.25">
      <c r="A465" s="2" t="s">
        <v>1994</v>
      </c>
    </row>
    <row r="466" spans="1:1" x14ac:dyDescent="0.25">
      <c r="A466" s="2" t="s">
        <v>828</v>
      </c>
    </row>
    <row r="467" spans="1:1" x14ac:dyDescent="0.25">
      <c r="A467" s="2" t="s">
        <v>2128</v>
      </c>
    </row>
    <row r="468" spans="1:1" x14ac:dyDescent="0.25">
      <c r="A468" s="2" t="s">
        <v>2305</v>
      </c>
    </row>
    <row r="469" spans="1:1" x14ac:dyDescent="0.25">
      <c r="A469" s="2" t="s">
        <v>1856</v>
      </c>
    </row>
    <row r="470" spans="1:1" x14ac:dyDescent="0.25">
      <c r="A470" s="2" t="s">
        <v>2295</v>
      </c>
    </row>
    <row r="471" spans="1:1" x14ac:dyDescent="0.25">
      <c r="A471" s="2" t="s">
        <v>2112</v>
      </c>
    </row>
    <row r="472" spans="1:1" x14ac:dyDescent="0.25">
      <c r="A472" s="2" t="s">
        <v>2140</v>
      </c>
    </row>
    <row r="473" spans="1:1" x14ac:dyDescent="0.25">
      <c r="A473" s="2" t="s">
        <v>1921</v>
      </c>
    </row>
    <row r="474" spans="1:1" x14ac:dyDescent="0.25">
      <c r="A474" s="2" t="s">
        <v>2076</v>
      </c>
    </row>
    <row r="475" spans="1:1" x14ac:dyDescent="0.25">
      <c r="A475" s="2" t="s">
        <v>2110</v>
      </c>
    </row>
    <row r="476" spans="1:1" x14ac:dyDescent="0.25">
      <c r="A476" s="2" t="s">
        <v>2200</v>
      </c>
    </row>
    <row r="477" spans="1:1" x14ac:dyDescent="0.25">
      <c r="A477" s="2" t="s">
        <v>2170</v>
      </c>
    </row>
    <row r="478" spans="1:1" x14ac:dyDescent="0.25">
      <c r="A478" s="2" t="s">
        <v>2180</v>
      </c>
    </row>
    <row r="479" spans="1:1" x14ac:dyDescent="0.25">
      <c r="A479" s="2" t="s">
        <v>2143</v>
      </c>
    </row>
    <row r="480" spans="1:1" x14ac:dyDescent="0.25">
      <c r="A480" s="2" t="s">
        <v>2092</v>
      </c>
    </row>
    <row r="481" spans="1:1" x14ac:dyDescent="0.25">
      <c r="A481" s="2" t="s">
        <v>1891</v>
      </c>
    </row>
    <row r="482" spans="1:1" x14ac:dyDescent="0.25">
      <c r="A482" s="2" t="s">
        <v>1674</v>
      </c>
    </row>
    <row r="483" spans="1:1" x14ac:dyDescent="0.25">
      <c r="A483" s="2" t="s">
        <v>1783</v>
      </c>
    </row>
    <row r="484" spans="1:1" x14ac:dyDescent="0.25">
      <c r="A484" s="2" t="s">
        <v>2232</v>
      </c>
    </row>
    <row r="485" spans="1:1" x14ac:dyDescent="0.25">
      <c r="A485" s="2" t="s">
        <v>1727</v>
      </c>
    </row>
    <row r="486" spans="1:1" x14ac:dyDescent="0.25">
      <c r="A486" s="2" t="s">
        <v>2186</v>
      </c>
    </row>
    <row r="487" spans="1:1" x14ac:dyDescent="0.25">
      <c r="A487" s="2" t="s">
        <v>1999</v>
      </c>
    </row>
    <row r="488" spans="1:1" x14ac:dyDescent="0.25">
      <c r="A488" s="2" t="s">
        <v>2004</v>
      </c>
    </row>
    <row r="489" spans="1:1" x14ac:dyDescent="0.25">
      <c r="A489" s="2" t="s">
        <v>2156</v>
      </c>
    </row>
    <row r="490" spans="1:1" x14ac:dyDescent="0.25">
      <c r="A490" s="2" t="s">
        <v>1873</v>
      </c>
    </row>
    <row r="491" spans="1:1" x14ac:dyDescent="0.25">
      <c r="A491" s="2" t="s">
        <v>2230</v>
      </c>
    </row>
    <row r="492" spans="1:1" x14ac:dyDescent="0.25">
      <c r="A492" s="2" t="s">
        <v>2221</v>
      </c>
    </row>
    <row r="493" spans="1:1" x14ac:dyDescent="0.25">
      <c r="A493" s="2" t="s">
        <v>2306</v>
      </c>
    </row>
    <row r="494" spans="1:1" x14ac:dyDescent="0.25">
      <c r="A494" s="2" t="s">
        <v>1518</v>
      </c>
    </row>
    <row r="495" spans="1:1" x14ac:dyDescent="0.25">
      <c r="A495" s="2" t="s">
        <v>1522</v>
      </c>
    </row>
    <row r="496" spans="1:1" x14ac:dyDescent="0.25">
      <c r="A496" s="2" t="s">
        <v>1439</v>
      </c>
    </row>
    <row r="497" spans="1:1" x14ac:dyDescent="0.25">
      <c r="A497" s="2" t="s">
        <v>1426</v>
      </c>
    </row>
    <row r="498" spans="1:1" x14ac:dyDescent="0.25">
      <c r="A498" s="2" t="s">
        <v>1476</v>
      </c>
    </row>
    <row r="499" spans="1:1" x14ac:dyDescent="0.25">
      <c r="A499" s="2" t="s">
        <v>1441</v>
      </c>
    </row>
    <row r="500" spans="1:1" x14ac:dyDescent="0.25">
      <c r="A500" s="2" t="s">
        <v>1459</v>
      </c>
    </row>
    <row r="501" spans="1:1" x14ac:dyDescent="0.25">
      <c r="A501" s="2" t="s">
        <v>1469</v>
      </c>
    </row>
    <row r="502" spans="1:1" x14ac:dyDescent="0.25">
      <c r="A502" s="2" t="s">
        <v>1389</v>
      </c>
    </row>
    <row r="503" spans="1:1" x14ac:dyDescent="0.25">
      <c r="A503" s="2" t="s">
        <v>1211</v>
      </c>
    </row>
    <row r="504" spans="1:1" x14ac:dyDescent="0.25">
      <c r="A504" s="2" t="s">
        <v>1765</v>
      </c>
    </row>
    <row r="505" spans="1:1" x14ac:dyDescent="0.25">
      <c r="A505" s="2" t="s">
        <v>1483</v>
      </c>
    </row>
    <row r="506" spans="1:1" x14ac:dyDescent="0.25">
      <c r="A506" s="2" t="s">
        <v>1638</v>
      </c>
    </row>
    <row r="507" spans="1:1" x14ac:dyDescent="0.25">
      <c r="A507" s="2" t="s">
        <v>1562</v>
      </c>
    </row>
    <row r="508" spans="1:1" x14ac:dyDescent="0.25">
      <c r="A508" s="2" t="s">
        <v>1669</v>
      </c>
    </row>
    <row r="509" spans="1:1" x14ac:dyDescent="0.25">
      <c r="A509" s="2" t="s">
        <v>1654</v>
      </c>
    </row>
    <row r="510" spans="1:1" x14ac:dyDescent="0.25">
      <c r="A510" s="2" t="s">
        <v>1643</v>
      </c>
    </row>
    <row r="511" spans="1:1" x14ac:dyDescent="0.25">
      <c r="A511" s="2" t="s">
        <v>2219</v>
      </c>
    </row>
    <row r="512" spans="1:1" x14ac:dyDescent="0.25">
      <c r="A512" s="2" t="s">
        <v>2061</v>
      </c>
    </row>
    <row r="513" spans="1:1" x14ac:dyDescent="0.25">
      <c r="A513" s="2" t="s">
        <v>1663</v>
      </c>
    </row>
    <row r="514" spans="1:1" x14ac:dyDescent="0.25">
      <c r="A514" s="2" t="s">
        <v>1284</v>
      </c>
    </row>
    <row r="515" spans="1:1" x14ac:dyDescent="0.25">
      <c r="A515" s="2" t="s">
        <v>2294</v>
      </c>
    </row>
    <row r="516" spans="1:1" x14ac:dyDescent="0.25">
      <c r="A516" s="2" t="s">
        <v>2217</v>
      </c>
    </row>
    <row r="517" spans="1:1" x14ac:dyDescent="0.25">
      <c r="A517" s="2" t="s">
        <v>2237</v>
      </c>
    </row>
    <row r="518" spans="1:1" x14ac:dyDescent="0.25">
      <c r="A518" s="2" t="s">
        <v>2138</v>
      </c>
    </row>
    <row r="519" spans="1:1" x14ac:dyDescent="0.25">
      <c r="A519" s="2" t="s">
        <v>2031</v>
      </c>
    </row>
    <row r="520" spans="1:1" x14ac:dyDescent="0.25">
      <c r="A520" s="2" t="s">
        <v>2001</v>
      </c>
    </row>
    <row r="521" spans="1:1" x14ac:dyDescent="0.25">
      <c r="A521" s="2" t="s">
        <v>2271</v>
      </c>
    </row>
    <row r="522" spans="1:1" x14ac:dyDescent="0.25">
      <c r="A522" s="2" t="s">
        <v>1912</v>
      </c>
    </row>
    <row r="523" spans="1:1" x14ac:dyDescent="0.25">
      <c r="A523" s="2" t="s">
        <v>1954</v>
      </c>
    </row>
    <row r="524" spans="1:1" x14ac:dyDescent="0.25">
      <c r="A524" s="2" t="s">
        <v>2073</v>
      </c>
    </row>
    <row r="525" spans="1:1" x14ac:dyDescent="0.25">
      <c r="A525" s="2" t="s">
        <v>2033</v>
      </c>
    </row>
    <row r="526" spans="1:1" x14ac:dyDescent="0.25">
      <c r="A526" s="2" t="s">
        <v>2135</v>
      </c>
    </row>
    <row r="527" spans="1:1" x14ac:dyDescent="0.25">
      <c r="A527" s="2" t="s">
        <v>2044</v>
      </c>
    </row>
    <row r="528" spans="1:1" x14ac:dyDescent="0.25">
      <c r="A528" s="2" t="s">
        <v>2164</v>
      </c>
    </row>
    <row r="529" spans="1:1" x14ac:dyDescent="0.25">
      <c r="A529" s="2" t="s">
        <v>2281</v>
      </c>
    </row>
    <row r="530" spans="1:1" x14ac:dyDescent="0.25">
      <c r="A530" s="2" t="s">
        <v>1998</v>
      </c>
    </row>
    <row r="531" spans="1:1" x14ac:dyDescent="0.25">
      <c r="A531" s="2" t="s">
        <v>2216</v>
      </c>
    </row>
    <row r="532" spans="1:1" x14ac:dyDescent="0.25">
      <c r="A532" s="2" t="s">
        <v>2166</v>
      </c>
    </row>
    <row r="533" spans="1:1" x14ac:dyDescent="0.25">
      <c r="A533" s="2" t="s">
        <v>1224</v>
      </c>
    </row>
    <row r="534" spans="1:1" x14ac:dyDescent="0.25">
      <c r="A534" s="2" t="s">
        <v>1744</v>
      </c>
    </row>
    <row r="535" spans="1:1" x14ac:dyDescent="0.25">
      <c r="A535" s="2" t="s">
        <v>2222</v>
      </c>
    </row>
    <row r="536" spans="1:1" x14ac:dyDescent="0.25">
      <c r="A536" s="2" t="s">
        <v>1993</v>
      </c>
    </row>
    <row r="537" spans="1:1" x14ac:dyDescent="0.25">
      <c r="A537" s="2" t="s">
        <v>2307</v>
      </c>
    </row>
    <row r="538" spans="1:1" x14ac:dyDescent="0.25">
      <c r="A538" s="2" t="s">
        <v>2027</v>
      </c>
    </row>
    <row r="539" spans="1:1" x14ac:dyDescent="0.25">
      <c r="A539" s="2" t="s">
        <v>2083</v>
      </c>
    </row>
    <row r="540" spans="1:1" x14ac:dyDescent="0.25">
      <c r="A540" s="2" t="s">
        <v>1773</v>
      </c>
    </row>
    <row r="541" spans="1:1" x14ac:dyDescent="0.25">
      <c r="A541" s="2" t="s">
        <v>2309</v>
      </c>
    </row>
    <row r="542" spans="1:1" x14ac:dyDescent="0.25">
      <c r="A542" s="2" t="s">
        <v>2231</v>
      </c>
    </row>
    <row r="543" spans="1:1" x14ac:dyDescent="0.25">
      <c r="A543" s="2" t="s">
        <v>1384</v>
      </c>
    </row>
    <row r="544" spans="1:1" x14ac:dyDescent="0.25">
      <c r="A544" s="2" t="s">
        <v>1373</v>
      </c>
    </row>
    <row r="545" spans="1:1" x14ac:dyDescent="0.25">
      <c r="A545" s="2" t="s">
        <v>1367</v>
      </c>
    </row>
    <row r="546" spans="1:1" x14ac:dyDescent="0.25">
      <c r="A546" s="2" t="s">
        <v>2227</v>
      </c>
    </row>
    <row r="547" spans="1:1" x14ac:dyDescent="0.25">
      <c r="A547" s="2" t="s">
        <v>1352</v>
      </c>
    </row>
    <row r="548" spans="1:1" x14ac:dyDescent="0.25">
      <c r="A548" s="2" t="s">
        <v>2249</v>
      </c>
    </row>
    <row r="549" spans="1:1" x14ac:dyDescent="0.25">
      <c r="A549" s="2" t="s">
        <v>2160</v>
      </c>
    </row>
    <row r="550" spans="1:1" x14ac:dyDescent="0.25">
      <c r="A550" s="2" t="s">
        <v>2060</v>
      </c>
    </row>
    <row r="551" spans="1:1" x14ac:dyDescent="0.25">
      <c r="A551" s="2" t="s">
        <v>2292</v>
      </c>
    </row>
    <row r="552" spans="1:1" x14ac:dyDescent="0.25">
      <c r="A552" s="2" t="s">
        <v>1983</v>
      </c>
    </row>
    <row r="553" spans="1:1" x14ac:dyDescent="0.25">
      <c r="A553" s="2" t="s">
        <v>1503</v>
      </c>
    </row>
    <row r="554" spans="1:1" x14ac:dyDescent="0.25">
      <c r="A554" s="2" t="s">
        <v>2282</v>
      </c>
    </row>
    <row r="555" spans="1:1" x14ac:dyDescent="0.25">
      <c r="A555" s="2" t="s">
        <v>1533</v>
      </c>
    </row>
    <row r="556" spans="1:1" x14ac:dyDescent="0.25">
      <c r="A556" s="2" t="s">
        <v>1225</v>
      </c>
    </row>
    <row r="557" spans="1:1" x14ac:dyDescent="0.25">
      <c r="A557" s="2" t="s">
        <v>1748</v>
      </c>
    </row>
    <row r="558" spans="1:1" x14ac:dyDescent="0.25">
      <c r="A558" s="2" t="s">
        <v>1767</v>
      </c>
    </row>
    <row r="559" spans="1:1" x14ac:dyDescent="0.25">
      <c r="A559" s="2" t="s">
        <v>1701</v>
      </c>
    </row>
    <row r="560" spans="1:1" x14ac:dyDescent="0.25">
      <c r="A560" s="2" t="s">
        <v>1563</v>
      </c>
    </row>
    <row r="561" spans="1:1" x14ac:dyDescent="0.25">
      <c r="A561" s="2" t="s">
        <v>1349</v>
      </c>
    </row>
    <row r="562" spans="1:1" x14ac:dyDescent="0.25">
      <c r="A562" s="2" t="s">
        <v>1202</v>
      </c>
    </row>
    <row r="563" spans="1:1" x14ac:dyDescent="0.25">
      <c r="A563" s="2" t="s">
        <v>1796</v>
      </c>
    </row>
    <row r="564" spans="1:1" x14ac:dyDescent="0.25">
      <c r="A564" s="2" t="s">
        <v>2302</v>
      </c>
    </row>
    <row r="565" spans="1:1" x14ac:dyDescent="0.25">
      <c r="A565" s="2" t="s">
        <v>1536</v>
      </c>
    </row>
    <row r="566" spans="1:1" x14ac:dyDescent="0.25">
      <c r="A566" s="2" t="s">
        <v>1378</v>
      </c>
    </row>
    <row r="567" spans="1:1" x14ac:dyDescent="0.25">
      <c r="A567" s="2" t="s">
        <v>1868</v>
      </c>
    </row>
    <row r="568" spans="1:1" x14ac:dyDescent="0.25">
      <c r="A568" s="2" t="s">
        <v>1779</v>
      </c>
    </row>
    <row r="569" spans="1:1" x14ac:dyDescent="0.25">
      <c r="A569" s="2" t="s">
        <v>1706</v>
      </c>
    </row>
    <row r="570" spans="1:1" x14ac:dyDescent="0.25">
      <c r="A570" s="2" t="s">
        <v>1733</v>
      </c>
    </row>
    <row r="571" spans="1:1" x14ac:dyDescent="0.25">
      <c r="A571" s="2" t="s">
        <v>1770</v>
      </c>
    </row>
    <row r="572" spans="1:1" x14ac:dyDescent="0.25">
      <c r="A572" s="2" t="s">
        <v>1801</v>
      </c>
    </row>
    <row r="573" spans="1:1" x14ac:dyDescent="0.25">
      <c r="A573" s="2" t="s">
        <v>1887</v>
      </c>
    </row>
    <row r="574" spans="1:1" x14ac:dyDescent="0.25">
      <c r="A574" s="2" t="s">
        <v>1361</v>
      </c>
    </row>
    <row r="575" spans="1:1" x14ac:dyDescent="0.25">
      <c r="A575" s="2" t="s">
        <v>2211</v>
      </c>
    </row>
    <row r="576" spans="1:1" x14ac:dyDescent="0.25">
      <c r="A576" s="2" t="s">
        <v>1239</v>
      </c>
    </row>
    <row r="577" spans="1:1" x14ac:dyDescent="0.25">
      <c r="A577" s="2" t="s">
        <v>1363</v>
      </c>
    </row>
    <row r="578" spans="1:1" x14ac:dyDescent="0.25">
      <c r="A578" s="2" t="s">
        <v>1219</v>
      </c>
    </row>
    <row r="579" spans="1:1" x14ac:dyDescent="0.25">
      <c r="A579" s="2" t="s">
        <v>2314</v>
      </c>
    </row>
    <row r="580" spans="1:1" x14ac:dyDescent="0.25">
      <c r="A580" s="2" t="s">
        <v>2275</v>
      </c>
    </row>
    <row r="581" spans="1:1" x14ac:dyDescent="0.25">
      <c r="A581" s="2" t="s">
        <v>2091</v>
      </c>
    </row>
    <row r="582" spans="1:1" x14ac:dyDescent="0.25">
      <c r="A582" s="2" t="s">
        <v>1917</v>
      </c>
    </row>
    <row r="583" spans="1:1" x14ac:dyDescent="0.25">
      <c r="A583" s="2" t="s">
        <v>1942</v>
      </c>
    </row>
    <row r="584" spans="1:1" x14ac:dyDescent="0.25">
      <c r="A584" s="2" t="s">
        <v>1914</v>
      </c>
    </row>
    <row r="585" spans="1:1" x14ac:dyDescent="0.25">
      <c r="A585" s="2" t="s">
        <v>2239</v>
      </c>
    </row>
    <row r="586" spans="1:1" x14ac:dyDescent="0.25">
      <c r="A586" s="2" t="s">
        <v>1984</v>
      </c>
    </row>
    <row r="587" spans="1:1" x14ac:dyDescent="0.25">
      <c r="A587" s="2" t="s">
        <v>1918</v>
      </c>
    </row>
    <row r="588" spans="1:1" x14ac:dyDescent="0.25">
      <c r="A588" s="2" t="s">
        <v>1938</v>
      </c>
    </row>
    <row r="589" spans="1:1" x14ac:dyDescent="0.25">
      <c r="A589" s="2" t="s">
        <v>2248</v>
      </c>
    </row>
    <row r="590" spans="1:1" x14ac:dyDescent="0.25">
      <c r="A590" s="2" t="s">
        <v>2010</v>
      </c>
    </row>
    <row r="591" spans="1:1" x14ac:dyDescent="0.25">
      <c r="A591" s="2" t="s">
        <v>2291</v>
      </c>
    </row>
    <row r="592" spans="1:1" x14ac:dyDescent="0.25">
      <c r="A592" s="2" t="s">
        <v>2119</v>
      </c>
    </row>
    <row r="593" spans="1:1" x14ac:dyDescent="0.25">
      <c r="A593" s="2" t="s">
        <v>2278</v>
      </c>
    </row>
    <row r="594" spans="1:1" x14ac:dyDescent="0.25">
      <c r="A594" s="2" t="s">
        <v>1986</v>
      </c>
    </row>
    <row r="595" spans="1:1" x14ac:dyDescent="0.25">
      <c r="A595" s="2" t="s">
        <v>2015</v>
      </c>
    </row>
    <row r="596" spans="1:1" x14ac:dyDescent="0.25">
      <c r="A596" s="2" t="s">
        <v>2158</v>
      </c>
    </row>
    <row r="597" spans="1:1" x14ac:dyDescent="0.25">
      <c r="A597" s="2" t="s">
        <v>1649</v>
      </c>
    </row>
    <row r="598" spans="1:1" x14ac:dyDescent="0.25">
      <c r="A598" s="2" t="s">
        <v>1554</v>
      </c>
    </row>
    <row r="599" spans="1:1" x14ac:dyDescent="0.25">
      <c r="A599" s="2" t="s">
        <v>1709</v>
      </c>
    </row>
    <row r="600" spans="1:1" x14ac:dyDescent="0.25">
      <c r="A600" s="2" t="s">
        <v>1794</v>
      </c>
    </row>
    <row r="601" spans="1:1" x14ac:dyDescent="0.25">
      <c r="A601" s="2" t="s">
        <v>1848</v>
      </c>
    </row>
    <row r="602" spans="1:1" x14ac:dyDescent="0.25">
      <c r="A602" s="2" t="s">
        <v>1630</v>
      </c>
    </row>
    <row r="603" spans="1:1" x14ac:dyDescent="0.25">
      <c r="A603" s="2" t="s">
        <v>1850</v>
      </c>
    </row>
    <row r="604" spans="1:1" x14ac:dyDescent="0.25">
      <c r="A604" s="2" t="s">
        <v>1734</v>
      </c>
    </row>
    <row r="605" spans="1:1" x14ac:dyDescent="0.25">
      <c r="A605" s="2" t="s">
        <v>1621</v>
      </c>
    </row>
    <row r="606" spans="1:1" x14ac:dyDescent="0.25">
      <c r="A606" s="2" t="s">
        <v>1657</v>
      </c>
    </row>
    <row r="607" spans="1:1" x14ac:dyDescent="0.25">
      <c r="A607" s="2" t="s">
        <v>1785</v>
      </c>
    </row>
    <row r="608" spans="1:1" x14ac:dyDescent="0.25">
      <c r="A608" s="2" t="s">
        <v>1679</v>
      </c>
    </row>
    <row r="609" spans="1:1" x14ac:dyDescent="0.25">
      <c r="A609" s="2" t="s">
        <v>1659</v>
      </c>
    </row>
    <row r="610" spans="1:1" x14ac:dyDescent="0.25">
      <c r="A610" s="2" t="s">
        <v>1741</v>
      </c>
    </row>
    <row r="611" spans="1:1" x14ac:dyDescent="0.25">
      <c r="A611" s="2" t="s">
        <v>1758</v>
      </c>
    </row>
    <row r="612" spans="1:1" x14ac:dyDescent="0.25">
      <c r="A612" s="2" t="s">
        <v>1321</v>
      </c>
    </row>
    <row r="613" spans="1:1" x14ac:dyDescent="0.25">
      <c r="A613" s="2" t="s">
        <v>1205</v>
      </c>
    </row>
    <row r="614" spans="1:1" x14ac:dyDescent="0.25">
      <c r="A614" s="2" t="s">
        <v>1287</v>
      </c>
    </row>
    <row r="615" spans="1:1" x14ac:dyDescent="0.25">
      <c r="A615" s="2" t="s">
        <v>1266</v>
      </c>
    </row>
    <row r="616" spans="1:1" x14ac:dyDescent="0.25">
      <c r="A616" s="2" t="s">
        <v>1355</v>
      </c>
    </row>
    <row r="617" spans="1:1" x14ac:dyDescent="0.25">
      <c r="A617" s="2" t="s">
        <v>2253</v>
      </c>
    </row>
    <row r="618" spans="1:1" x14ac:dyDescent="0.25">
      <c r="A618" s="2" t="s">
        <v>2201</v>
      </c>
    </row>
    <row r="619" spans="1:1" x14ac:dyDescent="0.25">
      <c r="A619" s="2" t="s">
        <v>1242</v>
      </c>
    </row>
    <row r="620" spans="1:1" x14ac:dyDescent="0.25">
      <c r="A620" s="2" t="s">
        <v>1246</v>
      </c>
    </row>
    <row r="621" spans="1:1" x14ac:dyDescent="0.25">
      <c r="A621" s="2" t="s">
        <v>1772</v>
      </c>
    </row>
    <row r="622" spans="1:1" x14ac:dyDescent="0.25">
      <c r="A622" s="2" t="s">
        <v>1382</v>
      </c>
    </row>
    <row r="623" spans="1:1" x14ac:dyDescent="0.25">
      <c r="A623" s="2" t="s">
        <v>1991</v>
      </c>
    </row>
    <row r="624" spans="1:1" x14ac:dyDescent="0.25">
      <c r="A624" s="2" t="s">
        <v>1394</v>
      </c>
    </row>
    <row r="625" spans="1:1" x14ac:dyDescent="0.25">
      <c r="A625" s="2" t="s">
        <v>1694</v>
      </c>
    </row>
    <row r="626" spans="1:1" x14ac:dyDescent="0.25">
      <c r="A626" s="2" t="s">
        <v>2233</v>
      </c>
    </row>
    <row r="627" spans="1:1" x14ac:dyDescent="0.25">
      <c r="A627" s="2" t="s">
        <v>1968</v>
      </c>
    </row>
    <row r="628" spans="1:1" x14ac:dyDescent="0.25">
      <c r="A628" s="2" t="s">
        <v>2134</v>
      </c>
    </row>
    <row r="629" spans="1:1" x14ac:dyDescent="0.25">
      <c r="A629" s="2" t="s">
        <v>2261</v>
      </c>
    </row>
    <row r="630" spans="1:1" x14ac:dyDescent="0.25">
      <c r="A630" s="2" t="s">
        <v>1714</v>
      </c>
    </row>
    <row r="631" spans="1:1" x14ac:dyDescent="0.25">
      <c r="A631" s="2" t="s">
        <v>2150</v>
      </c>
    </row>
    <row r="632" spans="1:1" x14ac:dyDescent="0.25">
      <c r="A632" s="2" t="s">
        <v>1614</v>
      </c>
    </row>
    <row r="633" spans="1:1" x14ac:dyDescent="0.25">
      <c r="A633" s="2" t="s">
        <v>1358</v>
      </c>
    </row>
    <row r="634" spans="1:1" x14ac:dyDescent="0.25">
      <c r="A634" s="2" t="s">
        <v>1464</v>
      </c>
    </row>
    <row r="635" spans="1:1" x14ac:dyDescent="0.25">
      <c r="A635" s="2" t="s">
        <v>1421</v>
      </c>
    </row>
    <row r="636" spans="1:1" x14ac:dyDescent="0.25">
      <c r="A636" s="2" t="s">
        <v>1420</v>
      </c>
    </row>
    <row r="637" spans="1:1" x14ac:dyDescent="0.25">
      <c r="A637" s="2" t="s">
        <v>1183</v>
      </c>
    </row>
    <row r="638" spans="1:1" x14ac:dyDescent="0.25">
      <c r="A638" s="2" t="s">
        <v>1486</v>
      </c>
    </row>
    <row r="639" spans="1:1" x14ac:dyDescent="0.25">
      <c r="A639" s="2" t="s">
        <v>1406</v>
      </c>
    </row>
    <row r="640" spans="1:1" x14ac:dyDescent="0.25">
      <c r="A640" s="2" t="s">
        <v>1237</v>
      </c>
    </row>
    <row r="641" spans="1:1" x14ac:dyDescent="0.25">
      <c r="A641" s="2" t="s">
        <v>1470</v>
      </c>
    </row>
    <row r="642" spans="1:1" x14ac:dyDescent="0.25">
      <c r="A642" s="2" t="s">
        <v>1809</v>
      </c>
    </row>
    <row r="643" spans="1:1" x14ac:dyDescent="0.25">
      <c r="A643" s="2" t="s">
        <v>1398</v>
      </c>
    </row>
    <row r="644" spans="1:1" x14ac:dyDescent="0.25">
      <c r="A644" s="2" t="s">
        <v>2035</v>
      </c>
    </row>
    <row r="645" spans="1:1" x14ac:dyDescent="0.25">
      <c r="A645" s="2" t="s">
        <v>1408</v>
      </c>
    </row>
    <row r="646" spans="1:1" x14ac:dyDescent="0.25">
      <c r="A646" s="2" t="s">
        <v>1534</v>
      </c>
    </row>
    <row r="647" spans="1:1" x14ac:dyDescent="0.25">
      <c r="A647" s="2" t="s">
        <v>2287</v>
      </c>
    </row>
    <row r="648" spans="1:1" x14ac:dyDescent="0.25">
      <c r="A648" s="2" t="s">
        <v>1454</v>
      </c>
    </row>
    <row r="649" spans="1:1" x14ac:dyDescent="0.25">
      <c r="A649" s="2" t="s">
        <v>1256</v>
      </c>
    </row>
    <row r="650" spans="1:1" x14ac:dyDescent="0.25">
      <c r="A650" s="2" t="s">
        <v>2184</v>
      </c>
    </row>
    <row r="651" spans="1:1" x14ac:dyDescent="0.25">
      <c r="A651" s="2" t="s">
        <v>1978</v>
      </c>
    </row>
    <row r="652" spans="1:1" x14ac:dyDescent="0.25">
      <c r="A652" s="2" t="s">
        <v>2048</v>
      </c>
    </row>
    <row r="653" spans="1:1" x14ac:dyDescent="0.25">
      <c r="A653" s="2" t="s">
        <v>1544</v>
      </c>
    </row>
    <row r="654" spans="1:1" x14ac:dyDescent="0.25">
      <c r="A654" s="2" t="s">
        <v>1192</v>
      </c>
    </row>
    <row r="655" spans="1:1" x14ac:dyDescent="0.25">
      <c r="A655" s="2" t="s">
        <v>2279</v>
      </c>
    </row>
    <row r="656" spans="1:1" x14ac:dyDescent="0.25">
      <c r="A656" s="2" t="s">
        <v>2124</v>
      </c>
    </row>
    <row r="657" spans="1:1" x14ac:dyDescent="0.25">
      <c r="A657" s="2" t="s">
        <v>2175</v>
      </c>
    </row>
    <row r="658" spans="1:1" x14ac:dyDescent="0.25">
      <c r="A658" s="2" t="s">
        <v>2056</v>
      </c>
    </row>
    <row r="659" spans="1:1" x14ac:dyDescent="0.25">
      <c r="A659" s="2" t="s">
        <v>2118</v>
      </c>
    </row>
    <row r="660" spans="1:1" x14ac:dyDescent="0.25">
      <c r="A660" s="2" t="s">
        <v>1909</v>
      </c>
    </row>
    <row r="661" spans="1:1" x14ac:dyDescent="0.25">
      <c r="A661" s="2" t="s">
        <v>1472</v>
      </c>
    </row>
    <row r="662" spans="1:1" x14ac:dyDescent="0.25">
      <c r="A662" s="2" t="s">
        <v>2144</v>
      </c>
    </row>
    <row r="663" spans="1:1" x14ac:dyDescent="0.25">
      <c r="A663" s="2" t="s">
        <v>2133</v>
      </c>
    </row>
    <row r="664" spans="1:1" x14ac:dyDescent="0.25">
      <c r="A664" s="2" t="s">
        <v>1497</v>
      </c>
    </row>
    <row r="665" spans="1:1" x14ac:dyDescent="0.25">
      <c r="A665" s="2" t="s">
        <v>1301</v>
      </c>
    </row>
    <row r="666" spans="1:1" x14ac:dyDescent="0.25">
      <c r="A666" s="2" t="s">
        <v>1499</v>
      </c>
    </row>
    <row r="667" spans="1:1" x14ac:dyDescent="0.25">
      <c r="A667" s="2" t="s">
        <v>2218</v>
      </c>
    </row>
    <row r="668" spans="1:1" x14ac:dyDescent="0.25">
      <c r="A668" s="2" t="s">
        <v>2315</v>
      </c>
    </row>
    <row r="669" spans="1:1" x14ac:dyDescent="0.25">
      <c r="A669" s="2" t="s">
        <v>2172</v>
      </c>
    </row>
    <row r="670" spans="1:1" x14ac:dyDescent="0.25">
      <c r="A670" s="2" t="s">
        <v>1381</v>
      </c>
    </row>
    <row r="671" spans="1:1" x14ac:dyDescent="0.25">
      <c r="A671" s="2" t="s">
        <v>2316</v>
      </c>
    </row>
    <row r="672" spans="1:1" x14ac:dyDescent="0.25">
      <c r="A672" s="2" t="s">
        <v>1501</v>
      </c>
    </row>
    <row r="673" spans="1:1" x14ac:dyDescent="0.25">
      <c r="A673" s="2" t="s">
        <v>1636</v>
      </c>
    </row>
    <row r="674" spans="1:1" x14ac:dyDescent="0.25">
      <c r="A674" s="2" t="s">
        <v>1700</v>
      </c>
    </row>
    <row r="675" spans="1:1" x14ac:dyDescent="0.25">
      <c r="A675" s="2" t="s">
        <v>1653</v>
      </c>
    </row>
    <row r="676" spans="1:1" x14ac:dyDescent="0.25">
      <c r="A676" s="2" t="s">
        <v>1666</v>
      </c>
    </row>
    <row r="677" spans="1:1" x14ac:dyDescent="0.25">
      <c r="A677" s="2" t="s">
        <v>1487</v>
      </c>
    </row>
    <row r="678" spans="1:1" x14ac:dyDescent="0.25">
      <c r="A678" s="2" t="s">
        <v>1542</v>
      </c>
    </row>
    <row r="679" spans="1:1" x14ac:dyDescent="0.25">
      <c r="A679" s="2" t="s">
        <v>1530</v>
      </c>
    </row>
    <row r="680" spans="1:1" x14ac:dyDescent="0.25">
      <c r="A680" s="2" t="s">
        <v>1766</v>
      </c>
    </row>
    <row r="681" spans="1:1" x14ac:dyDescent="0.25">
      <c r="A681" s="2" t="s">
        <v>1516</v>
      </c>
    </row>
    <row r="682" spans="1:1" x14ac:dyDescent="0.25">
      <c r="A682" s="2" t="s">
        <v>1805</v>
      </c>
    </row>
    <row r="683" spans="1:1" x14ac:dyDescent="0.25">
      <c r="A683" s="2" t="s">
        <v>1496</v>
      </c>
    </row>
    <row r="684" spans="1:1" x14ac:dyDescent="0.25">
      <c r="A684" s="2" t="s">
        <v>1650</v>
      </c>
    </row>
    <row r="685" spans="1:1" x14ac:dyDescent="0.25">
      <c r="A685" s="2" t="s">
        <v>1525</v>
      </c>
    </row>
    <row r="686" spans="1:1" x14ac:dyDescent="0.25">
      <c r="A686" s="2" t="s">
        <v>1465</v>
      </c>
    </row>
    <row r="687" spans="1:1" x14ac:dyDescent="0.25">
      <c r="A687" s="2" t="s">
        <v>1450</v>
      </c>
    </row>
    <row r="688" spans="1:1" x14ac:dyDescent="0.25">
      <c r="A688" s="2" t="s">
        <v>353</v>
      </c>
    </row>
    <row r="689" spans="1:1" x14ac:dyDescent="0.25">
      <c r="A689" s="2" t="s">
        <v>1519</v>
      </c>
    </row>
    <row r="690" spans="1:1" x14ac:dyDescent="0.25">
      <c r="A690" s="2" t="s">
        <v>1928</v>
      </c>
    </row>
    <row r="691" spans="1:1" x14ac:dyDescent="0.25">
      <c r="A691" s="2" t="s">
        <v>1604</v>
      </c>
    </row>
    <row r="692" spans="1:1" x14ac:dyDescent="0.25">
      <c r="A692" s="2" t="s">
        <v>1876</v>
      </c>
    </row>
    <row r="693" spans="1:1" x14ac:dyDescent="0.25">
      <c r="A693" s="2" t="s">
        <v>1737</v>
      </c>
    </row>
    <row r="694" spans="1:1" x14ac:dyDescent="0.25">
      <c r="A694" s="2" t="s">
        <v>1200</v>
      </c>
    </row>
    <row r="695" spans="1:1" x14ac:dyDescent="0.25">
      <c r="A695" s="2" t="s">
        <v>1447</v>
      </c>
    </row>
    <row r="696" spans="1:1" x14ac:dyDescent="0.25">
      <c r="A696" s="2" t="s">
        <v>1515</v>
      </c>
    </row>
    <row r="697" spans="1:1" x14ac:dyDescent="0.25">
      <c r="A697" s="2" t="s">
        <v>1182</v>
      </c>
    </row>
    <row r="698" spans="1:1" x14ac:dyDescent="0.25">
      <c r="A698" s="2" t="s">
        <v>1308</v>
      </c>
    </row>
    <row r="699" spans="1:1" x14ac:dyDescent="0.25">
      <c r="A699" s="2" t="s">
        <v>1401</v>
      </c>
    </row>
    <row r="700" spans="1:1" x14ac:dyDescent="0.25">
      <c r="A700" s="2" t="s">
        <v>1181</v>
      </c>
    </row>
    <row r="701" spans="1:1" x14ac:dyDescent="0.25">
      <c r="A701" s="2" t="s">
        <v>1411</v>
      </c>
    </row>
    <row r="702" spans="1:1" x14ac:dyDescent="0.25">
      <c r="A702" s="2" t="s">
        <v>1410</v>
      </c>
    </row>
    <row r="703" spans="1:1" x14ac:dyDescent="0.25">
      <c r="A703" s="2" t="s">
        <v>1500</v>
      </c>
    </row>
    <row r="704" spans="1:1" x14ac:dyDescent="0.25">
      <c r="A704" s="2" t="s">
        <v>1510</v>
      </c>
    </row>
    <row r="705" spans="1:1" x14ac:dyDescent="0.25">
      <c r="A705" s="2" t="s">
        <v>1471</v>
      </c>
    </row>
    <row r="706" spans="1:1" x14ac:dyDescent="0.25">
      <c r="A706" s="2" t="s">
        <v>1436</v>
      </c>
    </row>
    <row r="707" spans="1:1" x14ac:dyDescent="0.25">
      <c r="A707" s="2" t="s">
        <v>1467</v>
      </c>
    </row>
    <row r="708" spans="1:1" x14ac:dyDescent="0.25">
      <c r="A708" s="2" t="s">
        <v>2062</v>
      </c>
    </row>
    <row r="709" spans="1:1" x14ac:dyDescent="0.25">
      <c r="A709" s="2" t="s">
        <v>1847</v>
      </c>
    </row>
    <row r="710" spans="1:1" x14ac:dyDescent="0.25">
      <c r="A710" s="2" t="s">
        <v>1963</v>
      </c>
    </row>
    <row r="711" spans="1:1" x14ac:dyDescent="0.25">
      <c r="A711" s="2" t="s">
        <v>2207</v>
      </c>
    </row>
    <row r="712" spans="1:1" x14ac:dyDescent="0.25">
      <c r="A712" s="2" t="s">
        <v>1941</v>
      </c>
    </row>
    <row r="713" spans="1:1" x14ac:dyDescent="0.25">
      <c r="A713" s="2" t="s">
        <v>2190</v>
      </c>
    </row>
    <row r="714" spans="1:1" x14ac:dyDescent="0.25">
      <c r="A714" s="2" t="s">
        <v>1974</v>
      </c>
    </row>
    <row r="715" spans="1:1" x14ac:dyDescent="0.25">
      <c r="A715" s="2" t="s">
        <v>1904</v>
      </c>
    </row>
    <row r="716" spans="1:1" x14ac:dyDescent="0.25">
      <c r="A716" s="2" t="s">
        <v>2225</v>
      </c>
    </row>
    <row r="717" spans="1:1" x14ac:dyDescent="0.25">
      <c r="A717" s="2" t="s">
        <v>1613</v>
      </c>
    </row>
    <row r="718" spans="1:1" x14ac:dyDescent="0.25">
      <c r="A718" s="2" t="s">
        <v>1849</v>
      </c>
    </row>
    <row r="719" spans="1:1" x14ac:dyDescent="0.25">
      <c r="A719" s="2" t="s">
        <v>2185</v>
      </c>
    </row>
    <row r="720" spans="1:1" x14ac:dyDescent="0.25">
      <c r="A720" s="2" t="s">
        <v>1684</v>
      </c>
    </row>
    <row r="721" spans="1:1" x14ac:dyDescent="0.25">
      <c r="A721" s="2" t="s">
        <v>1879</v>
      </c>
    </row>
    <row r="722" spans="1:1" x14ac:dyDescent="0.25">
      <c r="A722" s="2" t="s">
        <v>621</v>
      </c>
    </row>
    <row r="723" spans="1:1" x14ac:dyDescent="0.25">
      <c r="A723" s="2" t="s">
        <v>518</v>
      </c>
    </row>
    <row r="724" spans="1:1" x14ac:dyDescent="0.25">
      <c r="A724" s="2" t="s">
        <v>1842</v>
      </c>
    </row>
    <row r="725" spans="1:1" x14ac:dyDescent="0.25">
      <c r="A725" s="2" t="s">
        <v>1813</v>
      </c>
    </row>
    <row r="726" spans="1:1" x14ac:dyDescent="0.25">
      <c r="A726" s="2" t="s">
        <v>1867</v>
      </c>
    </row>
    <row r="727" spans="1:1" x14ac:dyDescent="0.25">
      <c r="A727" s="2" t="s">
        <v>1757</v>
      </c>
    </row>
    <row r="728" spans="1:1" x14ac:dyDescent="0.25">
      <c r="A728" s="2" t="s">
        <v>2103</v>
      </c>
    </row>
    <row r="729" spans="1:1" x14ac:dyDescent="0.25">
      <c r="A729" s="2" t="s">
        <v>2078</v>
      </c>
    </row>
    <row r="730" spans="1:1" x14ac:dyDescent="0.25">
      <c r="A730" s="2" t="s">
        <v>2097</v>
      </c>
    </row>
    <row r="731" spans="1:1" x14ac:dyDescent="0.25">
      <c r="A731" s="2" t="s">
        <v>2095</v>
      </c>
    </row>
    <row r="732" spans="1:1" x14ac:dyDescent="0.25">
      <c r="A732" s="2" t="s">
        <v>1979</v>
      </c>
    </row>
    <row r="733" spans="1:1" x14ac:dyDescent="0.25">
      <c r="A733" s="2" t="s">
        <v>1977</v>
      </c>
    </row>
    <row r="734" spans="1:1" x14ac:dyDescent="0.25">
      <c r="A734" s="2" t="s">
        <v>2300</v>
      </c>
    </row>
    <row r="735" spans="1:1" x14ac:dyDescent="0.25">
      <c r="A735" s="2" t="s">
        <v>2129</v>
      </c>
    </row>
    <row r="736" spans="1:1" x14ac:dyDescent="0.25">
      <c r="A736" s="2" t="s">
        <v>2099</v>
      </c>
    </row>
    <row r="737" spans="1:1" x14ac:dyDescent="0.25">
      <c r="A737" s="2" t="s">
        <v>1929</v>
      </c>
    </row>
    <row r="738" spans="1:1" x14ac:dyDescent="0.25">
      <c r="A738" s="2" t="s">
        <v>1943</v>
      </c>
    </row>
    <row r="739" spans="1:1" x14ac:dyDescent="0.25">
      <c r="A739" s="2" t="s">
        <v>1924</v>
      </c>
    </row>
    <row r="740" spans="1:1" x14ac:dyDescent="0.25">
      <c r="A740" s="2" t="s">
        <v>2068</v>
      </c>
    </row>
    <row r="741" spans="1:1" x14ac:dyDescent="0.25">
      <c r="A741" s="2" t="s">
        <v>2057</v>
      </c>
    </row>
    <row r="742" spans="1:1" x14ac:dyDescent="0.25">
      <c r="A742" s="2" t="s">
        <v>1947</v>
      </c>
    </row>
    <row r="743" spans="1:1" x14ac:dyDescent="0.25">
      <c r="A743" s="2" t="s">
        <v>2243</v>
      </c>
    </row>
    <row r="744" spans="1:1" x14ac:dyDescent="0.25">
      <c r="A744" s="2" t="s">
        <v>2313</v>
      </c>
    </row>
    <row r="745" spans="1:1" x14ac:dyDescent="0.25">
      <c r="A745" s="2" t="s">
        <v>2159</v>
      </c>
    </row>
    <row r="746" spans="1:1" x14ac:dyDescent="0.25">
      <c r="A746" s="2" t="s">
        <v>2024</v>
      </c>
    </row>
    <row r="747" spans="1:1" x14ac:dyDescent="0.25">
      <c r="A747" s="2" t="s">
        <v>1982</v>
      </c>
    </row>
    <row r="748" spans="1:1" x14ac:dyDescent="0.25">
      <c r="A748" s="2" t="s">
        <v>2005</v>
      </c>
    </row>
    <row r="749" spans="1:1" x14ac:dyDescent="0.25">
      <c r="A749" s="2" t="s">
        <v>1932</v>
      </c>
    </row>
    <row r="750" spans="1:1" x14ac:dyDescent="0.25">
      <c r="A750" s="2" t="s">
        <v>2082</v>
      </c>
    </row>
    <row r="751" spans="1:1" x14ac:dyDescent="0.25">
      <c r="A751" s="2" t="s">
        <v>2064</v>
      </c>
    </row>
    <row r="752" spans="1:1" x14ac:dyDescent="0.25">
      <c r="A752" s="2" t="s">
        <v>1596</v>
      </c>
    </row>
    <row r="753" spans="1:1" x14ac:dyDescent="0.25">
      <c r="A753" s="2" t="s">
        <v>1927</v>
      </c>
    </row>
    <row r="754" spans="1:1" x14ac:dyDescent="0.25">
      <c r="A754" s="2" t="s">
        <v>1989</v>
      </c>
    </row>
    <row r="755" spans="1:1" x14ac:dyDescent="0.25">
      <c r="A755" s="2" t="s">
        <v>1933</v>
      </c>
    </row>
    <row r="756" spans="1:1" x14ac:dyDescent="0.25">
      <c r="A756" s="2" t="s">
        <v>2018</v>
      </c>
    </row>
    <row r="757" spans="1:1" x14ac:dyDescent="0.25">
      <c r="A757" s="2" t="s">
        <v>1901</v>
      </c>
    </row>
    <row r="758" spans="1:1" x14ac:dyDescent="0.25">
      <c r="A758" s="2" t="s">
        <v>1967</v>
      </c>
    </row>
    <row r="759" spans="1:1" x14ac:dyDescent="0.25">
      <c r="A759" s="2" t="s">
        <v>1923</v>
      </c>
    </row>
    <row r="760" spans="1:1" x14ac:dyDescent="0.25">
      <c r="A760" s="2" t="s">
        <v>1987</v>
      </c>
    </row>
    <row r="761" spans="1:1" x14ac:dyDescent="0.25">
      <c r="A761" s="2" t="s">
        <v>1897</v>
      </c>
    </row>
    <row r="762" spans="1:1" x14ac:dyDescent="0.25">
      <c r="A762" s="2" t="s">
        <v>2203</v>
      </c>
    </row>
    <row r="763" spans="1:1" x14ac:dyDescent="0.25">
      <c r="A763" s="2" t="s">
        <v>1869</v>
      </c>
    </row>
    <row r="764" spans="1:1" x14ac:dyDescent="0.25">
      <c r="A764" s="2" t="s">
        <v>1762</v>
      </c>
    </row>
    <row r="765" spans="1:1" x14ac:dyDescent="0.25">
      <c r="A765" s="2" t="s">
        <v>1264</v>
      </c>
    </row>
    <row r="766" spans="1:1" x14ac:dyDescent="0.25">
      <c r="A766" s="2" t="s">
        <v>1541</v>
      </c>
    </row>
    <row r="767" spans="1:1" x14ac:dyDescent="0.25">
      <c r="A767" s="2" t="s">
        <v>1524</v>
      </c>
    </row>
    <row r="768" spans="1:1" x14ac:dyDescent="0.25">
      <c r="A768" s="2" t="s">
        <v>1537</v>
      </c>
    </row>
    <row r="769" spans="1:1" x14ac:dyDescent="0.25">
      <c r="A769" s="2" t="s">
        <v>1526</v>
      </c>
    </row>
    <row r="770" spans="1:1" x14ac:dyDescent="0.25">
      <c r="A770" s="2" t="s">
        <v>1300</v>
      </c>
    </row>
    <row r="771" spans="1:1" x14ac:dyDescent="0.25">
      <c r="A771" s="2" t="s">
        <v>2016</v>
      </c>
    </row>
    <row r="772" spans="1:1" x14ac:dyDescent="0.25">
      <c r="A772" s="2" t="s">
        <v>2293</v>
      </c>
    </row>
    <row r="773" spans="1:1" x14ac:dyDescent="0.25">
      <c r="A773" s="2" t="s">
        <v>1440</v>
      </c>
    </row>
    <row r="774" spans="1:1" x14ac:dyDescent="0.25">
      <c r="A774" s="2" t="s">
        <v>1474</v>
      </c>
    </row>
    <row r="775" spans="1:1" x14ac:dyDescent="0.25">
      <c r="A775" s="2" t="s">
        <v>1491</v>
      </c>
    </row>
    <row r="776" spans="1:1" x14ac:dyDescent="0.25">
      <c r="A776" s="2" t="s">
        <v>1787</v>
      </c>
    </row>
    <row r="777" spans="1:1" x14ac:dyDescent="0.25">
      <c r="A777" s="2" t="s">
        <v>1313</v>
      </c>
    </row>
    <row r="778" spans="1:1" x14ac:dyDescent="0.25">
      <c r="A778" s="2" t="s">
        <v>1222</v>
      </c>
    </row>
    <row r="779" spans="1:1" x14ac:dyDescent="0.25">
      <c r="A779" s="2" t="s">
        <v>1226</v>
      </c>
    </row>
    <row r="780" spans="1:1" x14ac:dyDescent="0.25">
      <c r="A780" s="2" t="s">
        <v>1462</v>
      </c>
    </row>
    <row r="781" spans="1:1" x14ac:dyDescent="0.25">
      <c r="A781" s="2" t="s">
        <v>1710</v>
      </c>
    </row>
    <row r="782" spans="1:1" x14ac:dyDescent="0.25">
      <c r="A782" s="2" t="s">
        <v>1673</v>
      </c>
    </row>
    <row r="783" spans="1:1" x14ac:dyDescent="0.25">
      <c r="A783" s="2" t="s">
        <v>1725</v>
      </c>
    </row>
    <row r="784" spans="1:1" x14ac:dyDescent="0.25">
      <c r="A784" s="2" t="s">
        <v>1749</v>
      </c>
    </row>
    <row r="785" spans="1:1" x14ac:dyDescent="0.25">
      <c r="A785" s="2" t="s">
        <v>1836</v>
      </c>
    </row>
    <row r="786" spans="1:1" x14ac:dyDescent="0.25">
      <c r="A786" s="2" t="s">
        <v>1720</v>
      </c>
    </row>
    <row r="787" spans="1:1" x14ac:dyDescent="0.25">
      <c r="A787" s="2" t="s">
        <v>1566</v>
      </c>
    </row>
    <row r="788" spans="1:1" x14ac:dyDescent="0.25">
      <c r="A788" s="2" t="s">
        <v>1309</v>
      </c>
    </row>
    <row r="789" spans="1:1" x14ac:dyDescent="0.25">
      <c r="A789" s="2" t="s">
        <v>1996</v>
      </c>
    </row>
    <row r="790" spans="1:1" x14ac:dyDescent="0.25">
      <c r="A790" s="2" t="s">
        <v>2161</v>
      </c>
    </row>
    <row r="791" spans="1:1" x14ac:dyDescent="0.25">
      <c r="A791" s="2" t="s">
        <v>1898</v>
      </c>
    </row>
    <row r="792" spans="1:1" x14ac:dyDescent="0.25">
      <c r="A792" s="2" t="s">
        <v>2123</v>
      </c>
    </row>
    <row r="793" spans="1:1" x14ac:dyDescent="0.25">
      <c r="A793" s="2" t="s">
        <v>2317</v>
      </c>
    </row>
    <row r="794" spans="1:1" x14ac:dyDescent="0.25">
      <c r="A794" s="2" t="s">
        <v>1900</v>
      </c>
    </row>
    <row r="795" spans="1:1" x14ac:dyDescent="0.25">
      <c r="A795" s="2" t="s">
        <v>1995</v>
      </c>
    </row>
    <row r="796" spans="1:1" x14ac:dyDescent="0.25">
      <c r="A796" s="2" t="s">
        <v>1955</v>
      </c>
    </row>
    <row r="797" spans="1:1" x14ac:dyDescent="0.25">
      <c r="A797" s="2" t="s">
        <v>2272</v>
      </c>
    </row>
    <row r="798" spans="1:1" x14ac:dyDescent="0.25">
      <c r="A798" s="2" t="s">
        <v>2029</v>
      </c>
    </row>
    <row r="799" spans="1:1" x14ac:dyDescent="0.25">
      <c r="A799" s="2" t="s">
        <v>1922</v>
      </c>
    </row>
    <row r="800" spans="1:1" x14ac:dyDescent="0.25">
      <c r="A800" s="2" t="s">
        <v>1902</v>
      </c>
    </row>
    <row r="801" spans="1:1" x14ac:dyDescent="0.25">
      <c r="A801" s="2" t="s">
        <v>2008</v>
      </c>
    </row>
    <row r="802" spans="1:1" x14ac:dyDescent="0.25">
      <c r="A802" s="2" t="s">
        <v>2259</v>
      </c>
    </row>
    <row r="803" spans="1:1" x14ac:dyDescent="0.25">
      <c r="A803" s="2" t="s">
        <v>2202</v>
      </c>
    </row>
    <row r="804" spans="1:1" x14ac:dyDescent="0.25">
      <c r="A804" s="2" t="s">
        <v>1940</v>
      </c>
    </row>
    <row r="805" spans="1:1" x14ac:dyDescent="0.25">
      <c r="A805" s="2" t="s">
        <v>1964</v>
      </c>
    </row>
    <row r="806" spans="1:1" x14ac:dyDescent="0.25">
      <c r="A806" s="2" t="s">
        <v>2037</v>
      </c>
    </row>
    <row r="807" spans="1:1" x14ac:dyDescent="0.25">
      <c r="A807" s="2" t="s">
        <v>2106</v>
      </c>
    </row>
    <row r="808" spans="1:1" x14ac:dyDescent="0.25">
      <c r="A808" s="2" t="s">
        <v>2274</v>
      </c>
    </row>
    <row r="809" spans="1:1" x14ac:dyDescent="0.25">
      <c r="A809" s="2" t="s">
        <v>1905</v>
      </c>
    </row>
    <row r="810" spans="1:1" x14ac:dyDescent="0.25">
      <c r="A810" s="2" t="s">
        <v>1755</v>
      </c>
    </row>
    <row r="811" spans="1:1" x14ac:dyDescent="0.25">
      <c r="A811" s="2" t="s">
        <v>1376</v>
      </c>
    </row>
    <row r="812" spans="1:1" x14ac:dyDescent="0.25">
      <c r="A812" s="2" t="s">
        <v>1539</v>
      </c>
    </row>
    <row r="813" spans="1:1" x14ac:dyDescent="0.25">
      <c r="A813" s="2" t="s">
        <v>2174</v>
      </c>
    </row>
    <row r="814" spans="1:1" x14ac:dyDescent="0.25">
      <c r="A814" s="2" t="s">
        <v>1396</v>
      </c>
    </row>
    <row r="815" spans="1:1" x14ac:dyDescent="0.25">
      <c r="A815" s="2" t="s">
        <v>1445</v>
      </c>
    </row>
    <row r="816" spans="1:1" x14ac:dyDescent="0.25">
      <c r="A816" s="2" t="s">
        <v>1490</v>
      </c>
    </row>
    <row r="817" spans="1:1" x14ac:dyDescent="0.25">
      <c r="A817" s="2" t="s">
        <v>1240</v>
      </c>
    </row>
    <row r="818" spans="1:1" x14ac:dyDescent="0.25">
      <c r="A818" s="2" t="s">
        <v>1332</v>
      </c>
    </row>
    <row r="819" spans="1:1" x14ac:dyDescent="0.25">
      <c r="A819" s="2" t="s">
        <v>1216</v>
      </c>
    </row>
    <row r="820" spans="1:1" x14ac:dyDescent="0.25">
      <c r="A820" s="2" t="s">
        <v>1451</v>
      </c>
    </row>
    <row r="821" spans="1:1" x14ac:dyDescent="0.25">
      <c r="A821" s="2" t="s">
        <v>1415</v>
      </c>
    </row>
    <row r="822" spans="1:1" x14ac:dyDescent="0.25">
      <c r="A822" s="2" t="s">
        <v>1492</v>
      </c>
    </row>
    <row r="823" spans="1:1" x14ac:dyDescent="0.25">
      <c r="A823" s="2" t="s">
        <v>1619</v>
      </c>
    </row>
    <row r="824" spans="1:1" x14ac:dyDescent="0.25">
      <c r="A824" s="2" t="s">
        <v>1686</v>
      </c>
    </row>
    <row r="825" spans="1:1" x14ac:dyDescent="0.25">
      <c r="A825" s="2" t="s">
        <v>1798</v>
      </c>
    </row>
    <row r="826" spans="1:1" x14ac:dyDescent="0.25">
      <c r="A826" s="2" t="s">
        <v>1919</v>
      </c>
    </row>
    <row r="827" spans="1:1" x14ac:dyDescent="0.25">
      <c r="A827" s="2" t="s">
        <v>2210</v>
      </c>
    </row>
    <row r="828" spans="1:1" x14ac:dyDescent="0.25">
      <c r="A828" s="2" t="s">
        <v>2223</v>
      </c>
    </row>
    <row r="829" spans="1:1" x14ac:dyDescent="0.25">
      <c r="A829" s="2" t="s">
        <v>2229</v>
      </c>
    </row>
    <row r="830" spans="1:1" x14ac:dyDescent="0.25">
      <c r="A830" s="2" t="s">
        <v>1830</v>
      </c>
    </row>
    <row r="831" spans="1:1" x14ac:dyDescent="0.25">
      <c r="A831" s="2" t="s">
        <v>1268</v>
      </c>
    </row>
    <row r="832" spans="1:1" x14ac:dyDescent="0.25">
      <c r="A832" s="2" t="s">
        <v>1438</v>
      </c>
    </row>
    <row r="833" spans="1:1" x14ac:dyDescent="0.25">
      <c r="A833" s="2" t="s">
        <v>1821</v>
      </c>
    </row>
    <row r="834" spans="1:1" x14ac:dyDescent="0.25">
      <c r="A834" s="2" t="s">
        <v>1434</v>
      </c>
    </row>
    <row r="835" spans="1:1" x14ac:dyDescent="0.25">
      <c r="A835" s="2" t="s">
        <v>1463</v>
      </c>
    </row>
    <row r="836" spans="1:1" x14ac:dyDescent="0.25">
      <c r="A836" s="2" t="s">
        <v>184</v>
      </c>
    </row>
    <row r="837" spans="1:1" x14ac:dyDescent="0.25">
      <c r="A837" s="2" t="s">
        <v>1668</v>
      </c>
    </row>
    <row r="838" spans="1:1" x14ac:dyDescent="0.25">
      <c r="A838" s="2" t="s">
        <v>1831</v>
      </c>
    </row>
    <row r="839" spans="1:1" x14ac:dyDescent="0.25">
      <c r="A839" s="2" t="s">
        <v>1852</v>
      </c>
    </row>
    <row r="840" spans="1:1" x14ac:dyDescent="0.25">
      <c r="A840" s="2" t="s">
        <v>1732</v>
      </c>
    </row>
    <row r="841" spans="1:1" x14ac:dyDescent="0.25">
      <c r="A841" s="2" t="s">
        <v>1656</v>
      </c>
    </row>
    <row r="842" spans="1:1" x14ac:dyDescent="0.25">
      <c r="A842" s="2" t="s">
        <v>1193</v>
      </c>
    </row>
    <row r="843" spans="1:1" x14ac:dyDescent="0.25">
      <c r="A843" s="2" t="s">
        <v>1416</v>
      </c>
    </row>
    <row r="844" spans="1:1" x14ac:dyDescent="0.25">
      <c r="A844" s="2" t="s">
        <v>1430</v>
      </c>
    </row>
    <row r="845" spans="1:1" x14ac:dyDescent="0.25">
      <c r="A845" s="2" t="s">
        <v>1432</v>
      </c>
    </row>
    <row r="846" spans="1:1" x14ac:dyDescent="0.25">
      <c r="A846" s="2" t="s">
        <v>1489</v>
      </c>
    </row>
    <row r="847" spans="1:1" x14ac:dyDescent="0.25">
      <c r="A847" s="2" t="s">
        <v>1505</v>
      </c>
    </row>
    <row r="848" spans="1:1" x14ac:dyDescent="0.25">
      <c r="A848" s="2" t="s">
        <v>1229</v>
      </c>
    </row>
    <row r="849" spans="1:1" x14ac:dyDescent="0.25">
      <c r="A849" s="2" t="s">
        <v>1427</v>
      </c>
    </row>
    <row r="850" spans="1:1" x14ac:dyDescent="0.25">
      <c r="A850" s="2" t="s">
        <v>1479</v>
      </c>
    </row>
    <row r="851" spans="1:1" x14ac:dyDescent="0.25">
      <c r="A851" s="2" t="s">
        <v>1428</v>
      </c>
    </row>
    <row r="852" spans="1:1" x14ac:dyDescent="0.25">
      <c r="A852" s="2" t="s">
        <v>1412</v>
      </c>
    </row>
    <row r="853" spans="1:1" x14ac:dyDescent="0.25">
      <c r="A853" s="2" t="s">
        <v>1409</v>
      </c>
    </row>
    <row r="854" spans="1:1" x14ac:dyDescent="0.25">
      <c r="A854" s="2" t="s">
        <v>1413</v>
      </c>
    </row>
    <row r="855" spans="1:1" x14ac:dyDescent="0.25">
      <c r="A855" s="2" t="s">
        <v>1531</v>
      </c>
    </row>
    <row r="856" spans="1:1" x14ac:dyDescent="0.25">
      <c r="A856" s="2" t="s">
        <v>1455</v>
      </c>
    </row>
    <row r="857" spans="1:1" x14ac:dyDescent="0.25">
      <c r="A857" s="2" t="s">
        <v>1460</v>
      </c>
    </row>
    <row r="858" spans="1:1" x14ac:dyDescent="0.25">
      <c r="A858" s="2" t="s">
        <v>1498</v>
      </c>
    </row>
    <row r="859" spans="1:1" x14ac:dyDescent="0.25">
      <c r="A859" s="2" t="s">
        <v>1495</v>
      </c>
    </row>
    <row r="860" spans="1:1" x14ac:dyDescent="0.25">
      <c r="A860" s="2" t="s">
        <v>1514</v>
      </c>
    </row>
    <row r="861" spans="1:1" x14ac:dyDescent="0.25">
      <c r="A861" s="2" t="s">
        <v>1803</v>
      </c>
    </row>
    <row r="862" spans="1:1" x14ac:dyDescent="0.25">
      <c r="A862" s="2" t="s">
        <v>1400</v>
      </c>
    </row>
    <row r="863" spans="1:1" x14ac:dyDescent="0.25">
      <c r="A863" s="2" t="s">
        <v>2020</v>
      </c>
    </row>
    <row r="864" spans="1:1" x14ac:dyDescent="0.25">
      <c r="A864" s="2" t="s">
        <v>1315</v>
      </c>
    </row>
    <row r="865" spans="1:1" x14ac:dyDescent="0.25">
      <c r="A865" s="2" t="s">
        <v>1227</v>
      </c>
    </row>
    <row r="866" spans="1:1" x14ac:dyDescent="0.25">
      <c r="A866" s="2" t="s">
        <v>1735</v>
      </c>
    </row>
    <row r="867" spans="1:1" x14ac:dyDescent="0.25">
      <c r="A867" s="2" t="s">
        <v>2115</v>
      </c>
    </row>
    <row r="868" spans="1:1" x14ac:dyDescent="0.25">
      <c r="A868" s="2" t="s">
        <v>2065</v>
      </c>
    </row>
    <row r="869" spans="1:1" x14ac:dyDescent="0.25">
      <c r="A869" s="2" t="s">
        <v>1823</v>
      </c>
    </row>
    <row r="870" spans="1:1" x14ac:dyDescent="0.25">
      <c r="A870" s="2" t="s">
        <v>1835</v>
      </c>
    </row>
    <row r="871" spans="1:1" x14ac:dyDescent="0.25">
      <c r="A871" s="2" t="s">
        <v>1784</v>
      </c>
    </row>
    <row r="872" spans="1:1" x14ac:dyDescent="0.25">
      <c r="A872" s="2" t="s">
        <v>1655</v>
      </c>
    </row>
    <row r="873" spans="1:1" x14ac:dyDescent="0.25">
      <c r="A873" s="2" t="s">
        <v>1948</v>
      </c>
    </row>
    <row r="874" spans="1:1" x14ac:dyDescent="0.25">
      <c r="A874" s="2" t="s">
        <v>2171</v>
      </c>
    </row>
    <row r="875" spans="1:1" x14ac:dyDescent="0.25">
      <c r="A875" s="2" t="s">
        <v>2072</v>
      </c>
    </row>
    <row r="876" spans="1:1" x14ac:dyDescent="0.25">
      <c r="A876" s="2" t="s">
        <v>1777</v>
      </c>
    </row>
    <row r="877" spans="1:1" x14ac:dyDescent="0.25">
      <c r="A877" s="2" t="s">
        <v>1820</v>
      </c>
    </row>
    <row r="878" spans="1:1" x14ac:dyDescent="0.25">
      <c r="A878" s="2" t="s">
        <v>1628</v>
      </c>
    </row>
    <row r="879" spans="1:1" x14ac:dyDescent="0.25">
      <c r="A879" s="2" t="s">
        <v>1317</v>
      </c>
    </row>
    <row r="880" spans="1:1" x14ac:dyDescent="0.25">
      <c r="A880" s="2" t="s">
        <v>2006</v>
      </c>
    </row>
    <row r="881" spans="1:1" x14ac:dyDescent="0.25">
      <c r="A881" s="2" t="s">
        <v>2197</v>
      </c>
    </row>
    <row r="882" spans="1:1" x14ac:dyDescent="0.25">
      <c r="A882" s="2" t="s">
        <v>1236</v>
      </c>
    </row>
    <row r="883" spans="1:1" x14ac:dyDescent="0.25">
      <c r="A883" s="2" t="s">
        <v>2226</v>
      </c>
    </row>
    <row r="884" spans="1:1" x14ac:dyDescent="0.25">
      <c r="A884" s="2" t="s">
        <v>2214</v>
      </c>
    </row>
    <row r="885" spans="1:1" x14ac:dyDescent="0.25">
      <c r="A885" s="2" t="s">
        <v>1819</v>
      </c>
    </row>
    <row r="886" spans="1:1" x14ac:dyDescent="0.25">
      <c r="A886" s="2" t="s">
        <v>1198</v>
      </c>
    </row>
    <row r="887" spans="1:1" x14ac:dyDescent="0.25">
      <c r="A887" s="2" t="s">
        <v>1356</v>
      </c>
    </row>
    <row r="888" spans="1:1" x14ac:dyDescent="0.25">
      <c r="A888" s="2" t="s">
        <v>1816</v>
      </c>
    </row>
    <row r="889" spans="1:1" x14ac:dyDescent="0.25">
      <c r="A889" s="2" t="s">
        <v>1423</v>
      </c>
    </row>
    <row r="890" spans="1:1" x14ac:dyDescent="0.25">
      <c r="A890" s="2" t="s">
        <v>1255</v>
      </c>
    </row>
    <row r="891" spans="1:1" x14ac:dyDescent="0.25">
      <c r="A891" s="2" t="s">
        <v>1477</v>
      </c>
    </row>
    <row r="892" spans="1:1" x14ac:dyDescent="0.25">
      <c r="A892" s="2" t="s">
        <v>1452</v>
      </c>
    </row>
    <row r="893" spans="1:1" x14ac:dyDescent="0.25">
      <c r="A893" s="2" t="s">
        <v>1444</v>
      </c>
    </row>
    <row r="894" spans="1:1" x14ac:dyDescent="0.25">
      <c r="A894" s="2" t="s">
        <v>1414</v>
      </c>
    </row>
    <row r="895" spans="1:1" x14ac:dyDescent="0.25">
      <c r="A895" s="2" t="s">
        <v>1419</v>
      </c>
    </row>
    <row r="896" spans="1:1" x14ac:dyDescent="0.25">
      <c r="A896" s="2" t="s">
        <v>1446</v>
      </c>
    </row>
    <row r="897" spans="1:1" x14ac:dyDescent="0.25">
      <c r="A897" s="2" t="s">
        <v>1453</v>
      </c>
    </row>
    <row r="898" spans="1:1" x14ac:dyDescent="0.25">
      <c r="A898" s="2" t="s">
        <v>1466</v>
      </c>
    </row>
    <row r="899" spans="1:1" x14ac:dyDescent="0.25">
      <c r="A899" s="2" t="s">
        <v>1484</v>
      </c>
    </row>
    <row r="900" spans="1:1" x14ac:dyDescent="0.25">
      <c r="A900" s="2" t="s">
        <v>1549</v>
      </c>
    </row>
    <row r="901" spans="1:1" x14ac:dyDescent="0.25">
      <c r="A901" s="2" t="s">
        <v>1494</v>
      </c>
    </row>
    <row r="902" spans="1:1" x14ac:dyDescent="0.25">
      <c r="A902" s="2" t="s">
        <v>1425</v>
      </c>
    </row>
    <row r="903" spans="1:1" x14ac:dyDescent="0.25">
      <c r="A903" s="2" t="s">
        <v>1424</v>
      </c>
    </row>
    <row r="904" spans="1:1" x14ac:dyDescent="0.25">
      <c r="A904" s="2" t="s">
        <v>1521</v>
      </c>
    </row>
    <row r="905" spans="1:1" x14ac:dyDescent="0.25">
      <c r="A905" s="2" t="s">
        <v>1540</v>
      </c>
    </row>
    <row r="906" spans="1:1" x14ac:dyDescent="0.25">
      <c r="A906" s="2" t="s">
        <v>1635</v>
      </c>
    </row>
    <row r="907" spans="1:1" x14ac:dyDescent="0.25">
      <c r="A907" s="2" t="s">
        <v>1437</v>
      </c>
    </row>
    <row r="908" spans="1:1" x14ac:dyDescent="0.25">
      <c r="A908" s="2" t="s">
        <v>1506</v>
      </c>
    </row>
    <row r="909" spans="1:1" x14ac:dyDescent="0.25">
      <c r="A909" s="2" t="s">
        <v>1825</v>
      </c>
    </row>
    <row r="910" spans="1:1" x14ac:dyDescent="0.25">
      <c r="A910" s="2" t="s">
        <v>1553</v>
      </c>
    </row>
    <row r="911" spans="1:1" x14ac:dyDescent="0.25">
      <c r="A911" s="2" t="s">
        <v>1672</v>
      </c>
    </row>
    <row r="912" spans="1:1" x14ac:dyDescent="0.25">
      <c r="A912" s="2" t="s">
        <v>1768</v>
      </c>
    </row>
    <row r="913" spans="1:1" x14ac:dyDescent="0.25">
      <c r="A913" s="2" t="s">
        <v>1590</v>
      </c>
    </row>
    <row r="914" spans="1:1" x14ac:dyDescent="0.25">
      <c r="A914" s="2" t="s">
        <v>1683</v>
      </c>
    </row>
    <row r="915" spans="1:1" x14ac:dyDescent="0.25">
      <c r="A915" s="2" t="s">
        <v>1645</v>
      </c>
    </row>
    <row r="916" spans="1:1" x14ac:dyDescent="0.25">
      <c r="A916" s="2" t="s">
        <v>1615</v>
      </c>
    </row>
    <row r="917" spans="1:1" x14ac:dyDescent="0.25">
      <c r="A917" s="2" t="s">
        <v>1627</v>
      </c>
    </row>
    <row r="918" spans="1:1" x14ac:dyDescent="0.25">
      <c r="A918" s="2" t="s">
        <v>1583</v>
      </c>
    </row>
    <row r="919" spans="1:1" x14ac:dyDescent="0.25">
      <c r="A919" s="2" t="s">
        <v>1517</v>
      </c>
    </row>
    <row r="920" spans="1:1" x14ac:dyDescent="0.25">
      <c r="A920" s="2" t="s">
        <v>1703</v>
      </c>
    </row>
    <row r="921" spans="1:1" x14ac:dyDescent="0.25">
      <c r="A921" s="2" t="s">
        <v>1418</v>
      </c>
    </row>
    <row r="922" spans="1:1" x14ac:dyDescent="0.25">
      <c r="A922" s="2" t="s">
        <v>1320</v>
      </c>
    </row>
    <row r="923" spans="1:1" x14ac:dyDescent="0.25">
      <c r="A923" s="2" t="s">
        <v>1386</v>
      </c>
    </row>
    <row r="924" spans="1:1" x14ac:dyDescent="0.25">
      <c r="A924" s="2" t="s">
        <v>1839</v>
      </c>
    </row>
    <row r="925" spans="1:1" x14ac:dyDescent="0.25">
      <c r="A925" s="2" t="s">
        <v>1577</v>
      </c>
    </row>
    <row r="926" spans="1:1" x14ac:dyDescent="0.25">
      <c r="A926" s="2" t="s">
        <v>1728</v>
      </c>
    </row>
    <row r="927" spans="1:1" x14ac:dyDescent="0.25">
      <c r="A927" s="2" t="s">
        <v>1859</v>
      </c>
    </row>
    <row r="928" spans="1:1" x14ac:dyDescent="0.25">
      <c r="A928" s="2" t="s">
        <v>2262</v>
      </c>
    </row>
    <row r="929" spans="1:1" x14ac:dyDescent="0.25">
      <c r="A929" s="2" t="s">
        <v>2153</v>
      </c>
    </row>
    <row r="930" spans="1:1" x14ac:dyDescent="0.25">
      <c r="A930" s="2" t="s">
        <v>1392</v>
      </c>
    </row>
    <row r="931" spans="1:1" x14ac:dyDescent="0.25">
      <c r="A931" s="2" t="s">
        <v>1903</v>
      </c>
    </row>
    <row r="932" spans="1:1" x14ac:dyDescent="0.25">
      <c r="A932" s="2" t="s">
        <v>1523</v>
      </c>
    </row>
    <row r="933" spans="1:1" x14ac:dyDescent="0.25">
      <c r="A933" s="2" t="s">
        <v>1814</v>
      </c>
    </row>
    <row r="934" spans="1:1" x14ac:dyDescent="0.25">
      <c r="A934" s="2" t="s">
        <v>1956</v>
      </c>
    </row>
    <row r="935" spans="1:1" x14ac:dyDescent="0.25">
      <c r="A935" s="2" t="s">
        <v>2206</v>
      </c>
    </row>
    <row r="936" spans="1:1" x14ac:dyDescent="0.25">
      <c r="A936" s="2" t="s">
        <v>1273</v>
      </c>
    </row>
    <row r="937" spans="1:1" x14ac:dyDescent="0.25">
      <c r="A937" s="2" t="s">
        <v>1557</v>
      </c>
    </row>
    <row r="938" spans="1:1" x14ac:dyDescent="0.25">
      <c r="A938" s="2" t="s">
        <v>2032</v>
      </c>
    </row>
    <row r="939" spans="1:1" x14ac:dyDescent="0.25">
      <c r="A939" s="2" t="s">
        <v>1196</v>
      </c>
    </row>
    <row r="940" spans="1:1" x14ac:dyDescent="0.25">
      <c r="A940" s="2" t="s">
        <v>1846</v>
      </c>
    </row>
    <row r="941" spans="1:1" x14ac:dyDescent="0.25">
      <c r="A941" s="2" t="s">
        <v>1374</v>
      </c>
    </row>
    <row r="942" spans="1:1" x14ac:dyDescent="0.25">
      <c r="A942" s="2" t="s">
        <v>1937</v>
      </c>
    </row>
    <row r="943" spans="1:1" x14ac:dyDescent="0.25">
      <c r="A943" s="2" t="s">
        <v>2188</v>
      </c>
    </row>
    <row r="944" spans="1:1" x14ac:dyDescent="0.25">
      <c r="A944" s="2" t="s">
        <v>1316</v>
      </c>
    </row>
    <row r="945" spans="1:1" x14ac:dyDescent="0.25">
      <c r="A945" s="2" t="s">
        <v>1335</v>
      </c>
    </row>
    <row r="946" spans="1:1" x14ac:dyDescent="0.25">
      <c r="A946" s="2" t="s">
        <v>1278</v>
      </c>
    </row>
    <row r="947" spans="1:1" x14ac:dyDescent="0.25">
      <c r="A947" s="2" t="s">
        <v>1780</v>
      </c>
    </row>
    <row r="948" spans="1:1" x14ac:dyDescent="0.25">
      <c r="A948" s="2" t="s">
        <v>1509</v>
      </c>
    </row>
    <row r="949" spans="1:1" x14ac:dyDescent="0.25">
      <c r="A949" s="2" t="s">
        <v>1520</v>
      </c>
    </row>
    <row r="950" spans="1:1" x14ac:dyDescent="0.25">
      <c r="A950" s="2" t="s">
        <v>1468</v>
      </c>
    </row>
    <row r="951" spans="1:1" x14ac:dyDescent="0.25">
      <c r="A951" s="2" t="s">
        <v>1532</v>
      </c>
    </row>
    <row r="952" spans="1:1" x14ac:dyDescent="0.25">
      <c r="A952" s="2" t="s">
        <v>1555</v>
      </c>
    </row>
    <row r="953" spans="1:1" x14ac:dyDescent="0.25">
      <c r="A953" s="2" t="s">
        <v>1338</v>
      </c>
    </row>
    <row r="954" spans="1:1" x14ac:dyDescent="0.25">
      <c r="A954" s="2" t="s">
        <v>1366</v>
      </c>
    </row>
    <row r="955" spans="1:1" x14ac:dyDescent="0.25">
      <c r="A955" s="2" t="s">
        <v>1294</v>
      </c>
    </row>
    <row r="956" spans="1:1" x14ac:dyDescent="0.25">
      <c r="A956" s="2" t="s">
        <v>1279</v>
      </c>
    </row>
    <row r="957" spans="1:1" x14ac:dyDescent="0.25">
      <c r="A957" s="2" t="s">
        <v>1407</v>
      </c>
    </row>
    <row r="958" spans="1:1" x14ac:dyDescent="0.25">
      <c r="A958" s="2" t="s">
        <v>1504</v>
      </c>
    </row>
    <row r="959" spans="1:1" x14ac:dyDescent="0.25">
      <c r="A959" s="2" t="s">
        <v>1559</v>
      </c>
    </row>
    <row r="960" spans="1:1" x14ac:dyDescent="0.25">
      <c r="A960" s="2" t="s">
        <v>1678</v>
      </c>
    </row>
    <row r="961" spans="1:1" x14ac:dyDescent="0.25">
      <c r="A961" s="2" t="s">
        <v>1620</v>
      </c>
    </row>
    <row r="962" spans="1:1" x14ac:dyDescent="0.25">
      <c r="A962" s="2" t="s">
        <v>1597</v>
      </c>
    </row>
    <row r="963" spans="1:1" x14ac:dyDescent="0.25">
      <c r="A963" s="2" t="s">
        <v>1507</v>
      </c>
    </row>
    <row r="964" spans="1:1" x14ac:dyDescent="0.25">
      <c r="A964" s="2" t="s">
        <v>1443</v>
      </c>
    </row>
    <row r="965" spans="1:1" x14ac:dyDescent="0.25">
      <c r="A965" s="2" t="s">
        <v>1690</v>
      </c>
    </row>
    <row r="966" spans="1:1" x14ac:dyDescent="0.25">
      <c r="A966" s="2" t="s">
        <v>1546</v>
      </c>
    </row>
    <row r="967" spans="1:1" x14ac:dyDescent="0.25">
      <c r="A967" s="2" t="s">
        <v>1894</v>
      </c>
    </row>
    <row r="968" spans="1:1" x14ac:dyDescent="0.25">
      <c r="A968" s="2" t="s">
        <v>2094</v>
      </c>
    </row>
    <row r="969" spans="1:1" x14ac:dyDescent="0.25">
      <c r="A969" s="2" t="s">
        <v>2215</v>
      </c>
    </row>
    <row r="970" spans="1:1" x14ac:dyDescent="0.25">
      <c r="A970" s="2" t="s">
        <v>2238</v>
      </c>
    </row>
    <row r="971" spans="1:1" x14ac:dyDescent="0.25">
      <c r="A971" s="2" t="s">
        <v>2285</v>
      </c>
    </row>
    <row r="972" spans="1:1" x14ac:dyDescent="0.25">
      <c r="A972" s="2" t="s">
        <v>2104</v>
      </c>
    </row>
    <row r="973" spans="1:1" x14ac:dyDescent="0.25">
      <c r="A973" s="2" t="s">
        <v>2254</v>
      </c>
    </row>
    <row r="974" spans="1:1" x14ac:dyDescent="0.25">
      <c r="A974" s="2" t="s">
        <v>2267</v>
      </c>
    </row>
    <row r="975" spans="1:1" x14ac:dyDescent="0.25">
      <c r="A975" s="2" t="s">
        <v>1788</v>
      </c>
    </row>
    <row r="976" spans="1:1" x14ac:dyDescent="0.25">
      <c r="A976" s="2" t="s">
        <v>2105</v>
      </c>
    </row>
    <row r="977" spans="1:1" x14ac:dyDescent="0.25">
      <c r="A977" s="2" t="s">
        <v>1340</v>
      </c>
    </row>
    <row r="978" spans="1:1" x14ac:dyDescent="0.25">
      <c r="A978" s="2" t="s">
        <v>1478</v>
      </c>
    </row>
    <row r="979" spans="1:1" x14ac:dyDescent="0.25">
      <c r="A979" s="2" t="s">
        <v>1890</v>
      </c>
    </row>
    <row r="980" spans="1:1" x14ac:dyDescent="0.25">
      <c r="A980" s="2" t="s">
        <v>2009</v>
      </c>
    </row>
    <row r="981" spans="1:1" x14ac:dyDescent="0.25">
      <c r="A981" s="2" t="s">
        <v>2086</v>
      </c>
    </row>
    <row r="982" spans="1:1" x14ac:dyDescent="0.25">
      <c r="A982" s="2" t="s">
        <v>1272</v>
      </c>
    </row>
    <row r="983" spans="1:1" x14ac:dyDescent="0.25">
      <c r="A983" s="2" t="s">
        <v>1403</v>
      </c>
    </row>
    <row r="984" spans="1:1" x14ac:dyDescent="0.25">
      <c r="A984" s="2" t="s">
        <v>1391</v>
      </c>
    </row>
    <row r="985" spans="1:1" x14ac:dyDescent="0.25">
      <c r="A985" s="2" t="s">
        <v>1387</v>
      </c>
    </row>
    <row r="986" spans="1:1" x14ac:dyDescent="0.25">
      <c r="A986" s="2" t="s">
        <v>2304</v>
      </c>
    </row>
    <row r="987" spans="1:1" x14ac:dyDescent="0.25">
      <c r="A987" s="2" t="s">
        <v>1581</v>
      </c>
    </row>
    <row r="988" spans="1:1" x14ac:dyDescent="0.25">
      <c r="A988" s="2" t="s">
        <v>2251</v>
      </c>
    </row>
    <row r="989" spans="1:1" x14ac:dyDescent="0.25">
      <c r="A989" s="2" t="s">
        <v>1834</v>
      </c>
    </row>
    <row r="990" spans="1:1" x14ac:dyDescent="0.25">
      <c r="A990" s="2" t="s">
        <v>1715</v>
      </c>
    </row>
    <row r="991" spans="1:1" x14ac:dyDescent="0.25">
      <c r="A991" s="2" t="s">
        <v>1685</v>
      </c>
    </row>
    <row r="992" spans="1:1" x14ac:dyDescent="0.25">
      <c r="A992" s="2" t="s">
        <v>1364</v>
      </c>
    </row>
    <row r="993" spans="1:1" x14ac:dyDescent="0.25">
      <c r="A993" s="2" t="s">
        <v>1314</v>
      </c>
    </row>
    <row r="994" spans="1:1" x14ac:dyDescent="0.25">
      <c r="A994" s="2" t="s">
        <v>22</v>
      </c>
    </row>
    <row r="995" spans="1:1" x14ac:dyDescent="0.25">
      <c r="A995" s="2" t="s">
        <v>1302</v>
      </c>
    </row>
    <row r="996" spans="1:1" x14ac:dyDescent="0.25">
      <c r="A996" s="2" t="s">
        <v>2036</v>
      </c>
    </row>
    <row r="997" spans="1:1" x14ac:dyDescent="0.25">
      <c r="A997" s="2" t="s">
        <v>1203</v>
      </c>
    </row>
    <row r="998" spans="1:1" x14ac:dyDescent="0.25">
      <c r="A998" s="2" t="s">
        <v>1399</v>
      </c>
    </row>
    <row r="999" spans="1:1" x14ac:dyDescent="0.25">
      <c r="A999" s="2" t="s">
        <v>1299</v>
      </c>
    </row>
    <row r="1000" spans="1:1" x14ac:dyDescent="0.25">
      <c r="A1000" s="2" t="s">
        <v>1380</v>
      </c>
    </row>
    <row r="1001" spans="1:1" x14ac:dyDescent="0.25">
      <c r="A1001" s="2" t="s">
        <v>1512</v>
      </c>
    </row>
    <row r="1002" spans="1:1" x14ac:dyDescent="0.25">
      <c r="A1002" s="2" t="s">
        <v>1482</v>
      </c>
    </row>
    <row r="1003" spans="1:1" x14ac:dyDescent="0.25">
      <c r="A1003" s="2" t="s">
        <v>2108</v>
      </c>
    </row>
    <row r="1004" spans="1:1" x14ac:dyDescent="0.25">
      <c r="A1004" s="2" t="s">
        <v>2235</v>
      </c>
    </row>
    <row r="1005" spans="1:1" x14ac:dyDescent="0.25">
      <c r="A1005" s="2" t="s">
        <v>842</v>
      </c>
    </row>
    <row r="1006" spans="1:1" x14ac:dyDescent="0.25">
      <c r="A1006" s="2" t="s">
        <v>2246</v>
      </c>
    </row>
    <row r="1007" spans="1:1" x14ac:dyDescent="0.25">
      <c r="A1007" s="2" t="s">
        <v>1292</v>
      </c>
    </row>
    <row r="1008" spans="1:1" x14ac:dyDescent="0.25">
      <c r="A1008" s="2" t="s">
        <v>1379</v>
      </c>
    </row>
    <row r="1009" spans="1:1" x14ac:dyDescent="0.25">
      <c r="A1009" s="2" t="s">
        <v>1616</v>
      </c>
    </row>
    <row r="1010" spans="1:1" x14ac:dyDescent="0.25">
      <c r="A1010" s="2" t="s">
        <v>1528</v>
      </c>
    </row>
    <row r="1011" spans="1:1" x14ac:dyDescent="0.25">
      <c r="A1011" s="2" t="s">
        <v>2127</v>
      </c>
    </row>
    <row r="1012" spans="1:1" x14ac:dyDescent="0.25">
      <c r="A1012" s="2" t="s">
        <v>2050</v>
      </c>
    </row>
    <row r="1013" spans="1:1" x14ac:dyDescent="0.25">
      <c r="A1013" s="2" t="s">
        <v>1360</v>
      </c>
    </row>
    <row r="1014" spans="1:1" x14ac:dyDescent="0.25">
      <c r="A1014" s="2" t="s">
        <v>1843</v>
      </c>
    </row>
    <row r="1015" spans="1:1" x14ac:dyDescent="0.25">
      <c r="A1015" s="2" t="s">
        <v>1245</v>
      </c>
    </row>
    <row r="1016" spans="1:1" x14ac:dyDescent="0.25">
      <c r="A1016" s="2" t="s">
        <v>1269</v>
      </c>
    </row>
    <row r="1017" spans="1:1" x14ac:dyDescent="0.25">
      <c r="A1017" s="2" t="s">
        <v>1677</v>
      </c>
    </row>
    <row r="1018" spans="1:1" x14ac:dyDescent="0.25">
      <c r="A1018" s="2" t="s">
        <v>1586</v>
      </c>
    </row>
    <row r="1019" spans="1:1" x14ac:dyDescent="0.25">
      <c r="A1019" s="2" t="s">
        <v>1605</v>
      </c>
    </row>
    <row r="1020" spans="1:1" x14ac:dyDescent="0.25">
      <c r="A1020" s="2" t="s">
        <v>1658</v>
      </c>
    </row>
    <row r="1021" spans="1:1" x14ac:dyDescent="0.25">
      <c r="A1021" s="2" t="s">
        <v>1247</v>
      </c>
    </row>
    <row r="1022" spans="1:1" x14ac:dyDescent="0.25">
      <c r="A1022" s="2" t="s">
        <v>1646</v>
      </c>
    </row>
    <row r="1023" spans="1:1" x14ac:dyDescent="0.25">
      <c r="A1023" s="2" t="s">
        <v>1632</v>
      </c>
    </row>
    <row r="1024" spans="1:1" x14ac:dyDescent="0.25">
      <c r="A1024" s="2" t="s">
        <v>1874</v>
      </c>
    </row>
    <row r="1025" spans="1:1" x14ac:dyDescent="0.25">
      <c r="A1025" s="2" t="s">
        <v>1207</v>
      </c>
    </row>
    <row r="1026" spans="1:1" x14ac:dyDescent="0.25">
      <c r="A1026" s="2" t="s">
        <v>1827</v>
      </c>
    </row>
    <row r="1027" spans="1:1" x14ac:dyDescent="0.25">
      <c r="A1027" s="2" t="s">
        <v>1626</v>
      </c>
    </row>
    <row r="1028" spans="1:1" x14ac:dyDescent="0.25">
      <c r="A1028" s="2" t="s">
        <v>1179</v>
      </c>
    </row>
    <row r="1029" spans="1:1" x14ac:dyDescent="0.25">
      <c r="A1029" s="2" t="s">
        <v>1190</v>
      </c>
    </row>
    <row r="1030" spans="1:1" x14ac:dyDescent="0.25">
      <c r="A1030" s="2" t="s">
        <v>2240</v>
      </c>
    </row>
    <row r="1031" spans="1:1" x14ac:dyDescent="0.25">
      <c r="A1031" s="2" t="s">
        <v>1371</v>
      </c>
    </row>
    <row r="1032" spans="1:1" x14ac:dyDescent="0.25">
      <c r="A1032" s="2" t="s">
        <v>1485</v>
      </c>
    </row>
    <row r="1033" spans="1:1" x14ac:dyDescent="0.25">
      <c r="A1033" s="2" t="s">
        <v>1862</v>
      </c>
    </row>
    <row r="1034" spans="1:1" x14ac:dyDescent="0.25">
      <c r="A1034" s="2" t="s">
        <v>1782</v>
      </c>
    </row>
    <row r="1035" spans="1:1" x14ac:dyDescent="0.25">
      <c r="A1035" s="2" t="s">
        <v>1793</v>
      </c>
    </row>
    <row r="1036" spans="1:1" x14ac:dyDescent="0.25">
      <c r="A1036" s="2" t="s">
        <v>1730</v>
      </c>
    </row>
    <row r="1037" spans="1:1" x14ac:dyDescent="0.25">
      <c r="A1037" s="2" t="s">
        <v>1822</v>
      </c>
    </row>
    <row r="1038" spans="1:1" x14ac:dyDescent="0.25">
      <c r="A1038" s="2" t="s">
        <v>1602</v>
      </c>
    </row>
    <row r="1039" spans="1:1" x14ac:dyDescent="0.25">
      <c r="A1039" s="2" t="s">
        <v>1295</v>
      </c>
    </row>
    <row r="1040" spans="1:1" x14ac:dyDescent="0.25">
      <c r="A1040" s="2" t="s">
        <v>1797</v>
      </c>
    </row>
    <row r="1041" spans="1:1" x14ac:dyDescent="0.25">
      <c r="A1041" s="2" t="s">
        <v>1513</v>
      </c>
    </row>
    <row r="1042" spans="1:1" x14ac:dyDescent="0.25">
      <c r="A1042" s="2" t="s">
        <v>1529</v>
      </c>
    </row>
    <row r="1043" spans="1:1" x14ac:dyDescent="0.25">
      <c r="A1043" s="2" t="s">
        <v>1456</v>
      </c>
    </row>
    <row r="1044" spans="1:1" x14ac:dyDescent="0.25">
      <c r="A1044" s="2" t="s">
        <v>2311</v>
      </c>
    </row>
    <row r="1045" spans="1:1" x14ac:dyDescent="0.25">
      <c r="A1045" s="2" t="s">
        <v>1950</v>
      </c>
    </row>
    <row r="1046" spans="1:1" x14ac:dyDescent="0.25">
      <c r="A1046" s="2" t="s">
        <v>2162</v>
      </c>
    </row>
    <row r="1047" spans="1:1" x14ac:dyDescent="0.25">
      <c r="A1047" s="2" t="s">
        <v>2019</v>
      </c>
    </row>
    <row r="1048" spans="1:1" x14ac:dyDescent="0.25">
      <c r="A1048" s="2" t="s">
        <v>2000</v>
      </c>
    </row>
    <row r="1049" spans="1:1" x14ac:dyDescent="0.25">
      <c r="A1049" s="2" t="s">
        <v>2244</v>
      </c>
    </row>
    <row r="1050" spans="1:1" x14ac:dyDescent="0.25">
      <c r="A1050" s="2" t="s">
        <v>2080</v>
      </c>
    </row>
    <row r="1051" spans="1:1" x14ac:dyDescent="0.25">
      <c r="A1051" s="2" t="s">
        <v>2310</v>
      </c>
    </row>
    <row r="1052" spans="1:1" x14ac:dyDescent="0.25">
      <c r="A1052" s="2" t="s">
        <v>1981</v>
      </c>
    </row>
    <row r="1053" spans="1:1" x14ac:dyDescent="0.25">
      <c r="A1053" s="2" t="s">
        <v>2088</v>
      </c>
    </row>
    <row r="1054" spans="1:1" x14ac:dyDescent="0.25">
      <c r="A1054" s="2" t="s">
        <v>2101</v>
      </c>
    </row>
    <row r="1055" spans="1:1" x14ac:dyDescent="0.25">
      <c r="A1055" s="2" t="s">
        <v>1892</v>
      </c>
    </row>
    <row r="1056" spans="1:1" x14ac:dyDescent="0.25">
      <c r="A1056" s="2" t="s">
        <v>2167</v>
      </c>
    </row>
    <row r="1057" spans="1:1" x14ac:dyDescent="0.25">
      <c r="A1057" s="2" t="s">
        <v>2053</v>
      </c>
    </row>
    <row r="1058" spans="1:1" x14ac:dyDescent="0.25">
      <c r="A1058" s="2" t="s">
        <v>2242</v>
      </c>
    </row>
    <row r="1059" spans="1:1" x14ac:dyDescent="0.25">
      <c r="A1059" s="2" t="s">
        <v>2058</v>
      </c>
    </row>
    <row r="1060" spans="1:1" x14ac:dyDescent="0.25">
      <c r="A1060" s="2" t="s">
        <v>2041</v>
      </c>
    </row>
    <row r="1061" spans="1:1" x14ac:dyDescent="0.25">
      <c r="A1061" s="2" t="s">
        <v>1750</v>
      </c>
    </row>
    <row r="1062" spans="1:1" x14ac:dyDescent="0.25">
      <c r="A1062" s="2" t="s">
        <v>2051</v>
      </c>
    </row>
    <row r="1063" spans="1:1" x14ac:dyDescent="0.25">
      <c r="A1063" s="2" t="s">
        <v>2269</v>
      </c>
    </row>
    <row r="1064" spans="1:1" x14ac:dyDescent="0.25">
      <c r="A1064" s="2" t="s">
        <v>2025</v>
      </c>
    </row>
    <row r="1065" spans="1:1" x14ac:dyDescent="0.25">
      <c r="A1065" s="2" t="s">
        <v>1962</v>
      </c>
    </row>
    <row r="1066" spans="1:1" x14ac:dyDescent="0.25">
      <c r="A1066" s="2" t="s">
        <v>2077</v>
      </c>
    </row>
    <row r="1067" spans="1:1" x14ac:dyDescent="0.25">
      <c r="A1067" s="2" t="s">
        <v>1365</v>
      </c>
    </row>
    <row r="1068" spans="1:1" x14ac:dyDescent="0.25">
      <c r="A1068" s="2" t="s">
        <v>1253</v>
      </c>
    </row>
    <row r="1069" spans="1:1" x14ac:dyDescent="0.25">
      <c r="A1069" s="2" t="s">
        <v>1215</v>
      </c>
    </row>
    <row r="1070" spans="1:1" x14ac:dyDescent="0.25">
      <c r="A1070" s="2" t="s">
        <v>1341</v>
      </c>
    </row>
    <row r="1071" spans="1:1" x14ac:dyDescent="0.25">
      <c r="A1071" s="2" t="s">
        <v>1285</v>
      </c>
    </row>
    <row r="1072" spans="1:1" x14ac:dyDescent="0.25">
      <c r="A1072" s="2" t="s">
        <v>1189</v>
      </c>
    </row>
    <row r="1073" spans="1:1" x14ac:dyDescent="0.25">
      <c r="A1073" s="2" t="s">
        <v>1778</v>
      </c>
    </row>
    <row r="1074" spans="1:1" x14ac:dyDescent="0.25">
      <c r="A1074" s="2" t="s">
        <v>1377</v>
      </c>
    </row>
    <row r="1075" spans="1:1" x14ac:dyDescent="0.25">
      <c r="A1075" s="2" t="s">
        <v>1324</v>
      </c>
    </row>
    <row r="1076" spans="1:1" x14ac:dyDescent="0.25">
      <c r="A1076" s="2" t="s">
        <v>1199</v>
      </c>
    </row>
    <row r="1077" spans="1:1" x14ac:dyDescent="0.25">
      <c r="A1077" s="2" t="s">
        <v>1213</v>
      </c>
    </row>
    <row r="1078" spans="1:1" x14ac:dyDescent="0.25">
      <c r="A1078" s="2" t="s">
        <v>1184</v>
      </c>
    </row>
    <row r="1079" spans="1:1" x14ac:dyDescent="0.25">
      <c r="A1079" s="2" t="s">
        <v>1267</v>
      </c>
    </row>
    <row r="1080" spans="1:1" x14ac:dyDescent="0.25">
      <c r="A1080" s="2" t="s">
        <v>1212</v>
      </c>
    </row>
    <row r="1081" spans="1:1" x14ac:dyDescent="0.25">
      <c r="A1081" s="2" t="s">
        <v>1311</v>
      </c>
    </row>
    <row r="1082" spans="1:1" x14ac:dyDescent="0.25">
      <c r="A1082" s="2" t="s">
        <v>1346</v>
      </c>
    </row>
    <row r="1083" spans="1:1" x14ac:dyDescent="0.25">
      <c r="A1083" s="2" t="s">
        <v>1263</v>
      </c>
    </row>
    <row r="1084" spans="1:1" x14ac:dyDescent="0.25">
      <c r="A1084" s="2" t="s">
        <v>1208</v>
      </c>
    </row>
    <row r="1085" spans="1:1" x14ac:dyDescent="0.25">
      <c r="A1085" s="2" t="s">
        <v>1832</v>
      </c>
    </row>
    <row r="1086" spans="1:1" x14ac:dyDescent="0.25">
      <c r="A1086" s="2" t="s">
        <v>1283</v>
      </c>
    </row>
    <row r="1087" spans="1:1" x14ac:dyDescent="0.25">
      <c r="A1087" s="2" t="s">
        <v>1194</v>
      </c>
    </row>
    <row r="1088" spans="1:1" x14ac:dyDescent="0.25">
      <c r="A1088" s="2" t="s">
        <v>1271</v>
      </c>
    </row>
    <row r="1089" spans="1:1" x14ac:dyDescent="0.25">
      <c r="A1089" s="2" t="s">
        <v>1343</v>
      </c>
    </row>
    <row r="1090" spans="1:1" x14ac:dyDescent="0.25">
      <c r="A1090" s="2" t="s">
        <v>1328</v>
      </c>
    </row>
    <row r="1091" spans="1:1" x14ac:dyDescent="0.25">
      <c r="A1091" s="2" t="s">
        <v>1508</v>
      </c>
    </row>
    <row r="1092" spans="1:1" x14ac:dyDescent="0.25">
      <c r="A1092" s="2" t="s">
        <v>1435</v>
      </c>
    </row>
    <row r="1093" spans="1:1" x14ac:dyDescent="0.25">
      <c r="A1093" s="2" t="s">
        <v>1458</v>
      </c>
    </row>
    <row r="1094" spans="1:1" x14ac:dyDescent="0.25">
      <c r="A1094" s="2" t="s">
        <v>1828</v>
      </c>
    </row>
    <row r="1095" spans="1:1" x14ac:dyDescent="0.25">
      <c r="A1095" s="2" t="s">
        <v>1697</v>
      </c>
    </row>
    <row r="1096" spans="1:1" x14ac:dyDescent="0.25">
      <c r="A1096" s="2" t="s">
        <v>1731</v>
      </c>
    </row>
    <row r="1097" spans="1:1" x14ac:dyDescent="0.25">
      <c r="A1097" s="2" t="s">
        <v>1708</v>
      </c>
    </row>
    <row r="1098" spans="1:1" x14ac:dyDescent="0.25">
      <c r="A1098" s="2" t="s">
        <v>1790</v>
      </c>
    </row>
    <row r="1099" spans="1:1" x14ac:dyDescent="0.25">
      <c r="A1099" s="2" t="s">
        <v>2002</v>
      </c>
    </row>
    <row r="1100" spans="1:1" x14ac:dyDescent="0.25">
      <c r="A1100" s="2" t="s">
        <v>2055</v>
      </c>
    </row>
    <row r="1101" spans="1:1" x14ac:dyDescent="0.25">
      <c r="A1101" s="2" t="s">
        <v>2194</v>
      </c>
    </row>
    <row r="1102" spans="1:1" x14ac:dyDescent="0.25">
      <c r="A1102" s="2" t="s">
        <v>1992</v>
      </c>
    </row>
    <row r="1103" spans="1:1" x14ac:dyDescent="0.25">
      <c r="A1103" s="2" t="s">
        <v>2176</v>
      </c>
    </row>
    <row r="1104" spans="1:1" x14ac:dyDescent="0.25">
      <c r="A1104" s="2" t="s">
        <v>2075</v>
      </c>
    </row>
    <row r="1105" spans="1:1" x14ac:dyDescent="0.25">
      <c r="A1105" s="2" t="s">
        <v>2286</v>
      </c>
    </row>
    <row r="1106" spans="1:1" x14ac:dyDescent="0.25">
      <c r="A1106" s="2" t="s">
        <v>2081</v>
      </c>
    </row>
    <row r="1107" spans="1:1" x14ac:dyDescent="0.25">
      <c r="A1107" s="2" t="s">
        <v>2114</v>
      </c>
    </row>
    <row r="1108" spans="1:1" x14ac:dyDescent="0.25">
      <c r="A1108" s="2" t="s">
        <v>2265</v>
      </c>
    </row>
    <row r="1109" spans="1:1" x14ac:dyDescent="0.25">
      <c r="A1109" s="2" t="s">
        <v>2054</v>
      </c>
    </row>
    <row r="1110" spans="1:1" x14ac:dyDescent="0.25">
      <c r="A1110" s="2" t="s">
        <v>1949</v>
      </c>
    </row>
    <row r="1111" spans="1:1" x14ac:dyDescent="0.25">
      <c r="A1111" s="2" t="s">
        <v>1303</v>
      </c>
    </row>
    <row r="1112" spans="1:1" x14ac:dyDescent="0.25">
      <c r="A1112" s="2" t="s">
        <v>1845</v>
      </c>
    </row>
    <row r="1113" spans="1:1" x14ac:dyDescent="0.25">
      <c r="A1113" s="2" t="s">
        <v>1607</v>
      </c>
    </row>
    <row r="1114" spans="1:1" x14ac:dyDescent="0.25">
      <c r="A1114" s="2" t="s">
        <v>1858</v>
      </c>
    </row>
    <row r="1115" spans="1:1" x14ac:dyDescent="0.25">
      <c r="A1115" s="2" t="s">
        <v>1870</v>
      </c>
    </row>
    <row r="1116" spans="1:1" x14ac:dyDescent="0.25">
      <c r="A1116" s="2" t="s">
        <v>1889</v>
      </c>
    </row>
    <row r="1117" spans="1:1" x14ac:dyDescent="0.25">
      <c r="A1117" s="2" t="s">
        <v>1289</v>
      </c>
    </row>
    <row r="1118" spans="1:1" x14ac:dyDescent="0.25">
      <c r="A1118" s="2" t="s">
        <v>1260</v>
      </c>
    </row>
    <row r="1119" spans="1:1" x14ac:dyDescent="0.25">
      <c r="A1119" s="2" t="s">
        <v>1642</v>
      </c>
    </row>
    <row r="1120" spans="1:1" x14ac:dyDescent="0.25">
      <c r="A1120" s="2" t="s">
        <v>1667</v>
      </c>
    </row>
    <row r="1121" spans="1:1" x14ac:dyDescent="0.25">
      <c r="A1121" s="2" t="s">
        <v>1751</v>
      </c>
    </row>
    <row r="1122" spans="1:1" x14ac:dyDescent="0.25">
      <c r="A1122" s="2" t="s">
        <v>1810</v>
      </c>
    </row>
    <row r="1123" spans="1:1" x14ac:dyDescent="0.25">
      <c r="A1123" s="2" t="s">
        <v>1665</v>
      </c>
    </row>
    <row r="1124" spans="1:1" x14ac:dyDescent="0.25">
      <c r="A1124" s="2" t="s">
        <v>1612</v>
      </c>
    </row>
    <row r="1125" spans="1:1" x14ac:dyDescent="0.25">
      <c r="A1125" s="2" t="s">
        <v>1560</v>
      </c>
    </row>
    <row r="1126" spans="1:1" x14ac:dyDescent="0.25">
      <c r="A1126" s="2" t="s">
        <v>1747</v>
      </c>
    </row>
    <row r="1127" spans="1:1" x14ac:dyDescent="0.25">
      <c r="A1127" s="2" t="s">
        <v>1610</v>
      </c>
    </row>
    <row r="1128" spans="1:1" x14ac:dyDescent="0.25">
      <c r="A1128" s="2" t="s">
        <v>1580</v>
      </c>
    </row>
    <row r="1129" spans="1:1" x14ac:dyDescent="0.25">
      <c r="A1129" s="2" t="s">
        <v>1641</v>
      </c>
    </row>
    <row r="1130" spans="1:1" x14ac:dyDescent="0.25">
      <c r="A1130" s="2" t="s">
        <v>1579</v>
      </c>
    </row>
    <row r="1131" spans="1:1" x14ac:dyDescent="0.25">
      <c r="A1131" s="2" t="s">
        <v>1726</v>
      </c>
    </row>
    <row r="1132" spans="1:1" x14ac:dyDescent="0.25">
      <c r="A1132" s="2" t="s">
        <v>1729</v>
      </c>
    </row>
    <row r="1133" spans="1:1" x14ac:dyDescent="0.25">
      <c r="A1133" s="2" t="s">
        <v>1695</v>
      </c>
    </row>
    <row r="1134" spans="1:1" x14ac:dyDescent="0.25">
      <c r="A1134" s="2" t="s">
        <v>1806</v>
      </c>
    </row>
    <row r="1135" spans="1:1" x14ac:dyDescent="0.25">
      <c r="A1135" s="2" t="s">
        <v>1609</v>
      </c>
    </row>
    <row r="1136" spans="1:1" x14ac:dyDescent="0.25">
      <c r="A1136" s="2" t="s">
        <v>1760</v>
      </c>
    </row>
    <row r="1137" spans="1:1" x14ac:dyDescent="0.25">
      <c r="A1137" s="2" t="s">
        <v>1789</v>
      </c>
    </row>
    <row r="1138" spans="1:1" x14ac:dyDescent="0.25">
      <c r="A1138" s="2" t="s">
        <v>1618</v>
      </c>
    </row>
    <row r="1139" spans="1:1" x14ac:dyDescent="0.25">
      <c r="A1139" s="2" t="s">
        <v>1682</v>
      </c>
    </row>
    <row r="1140" spans="1:1" x14ac:dyDescent="0.25">
      <c r="A1140" s="2" t="s">
        <v>1595</v>
      </c>
    </row>
    <row r="1141" spans="1:1" x14ac:dyDescent="0.25">
      <c r="A1141" s="2" t="s">
        <v>1204</v>
      </c>
    </row>
    <row r="1142" spans="1:1" x14ac:dyDescent="0.25">
      <c r="A1142" s="2" t="s">
        <v>1795</v>
      </c>
    </row>
    <row r="1143" spans="1:1" x14ac:dyDescent="0.25">
      <c r="A1143" s="2" t="s">
        <v>1826</v>
      </c>
    </row>
    <row r="1144" spans="1:1" x14ac:dyDescent="0.25">
      <c r="A1144" s="2" t="s">
        <v>1781</v>
      </c>
    </row>
    <row r="1145" spans="1:1" x14ac:dyDescent="0.25">
      <c r="A1145" s="2" t="s">
        <v>2236</v>
      </c>
    </row>
    <row r="1146" spans="1:1" x14ac:dyDescent="0.25">
      <c r="A1146" s="2" t="s">
        <v>1711</v>
      </c>
    </row>
    <row r="1147" spans="1:1" x14ac:dyDescent="0.25">
      <c r="A1147" s="2" t="s">
        <v>1818</v>
      </c>
    </row>
    <row r="1148" spans="1:1" x14ac:dyDescent="0.25">
      <c r="A1148" s="2" t="s">
        <v>1608</v>
      </c>
    </row>
    <row r="1149" spans="1:1" x14ac:dyDescent="0.25">
      <c r="A1149" s="2" t="s">
        <v>1385</v>
      </c>
    </row>
    <row r="1150" spans="1:1" x14ac:dyDescent="0.25">
      <c r="A1150" s="2" t="s">
        <v>1244</v>
      </c>
    </row>
    <row r="1151" spans="1:1" x14ac:dyDescent="0.25">
      <c r="A1151" s="2" t="s">
        <v>1275</v>
      </c>
    </row>
    <row r="1152" spans="1:1" x14ac:dyDescent="0.25">
      <c r="A1152" s="2" t="s">
        <v>1254</v>
      </c>
    </row>
    <row r="1153" spans="1:1" x14ac:dyDescent="0.25">
      <c r="A1153" s="2" t="s">
        <v>2177</v>
      </c>
    </row>
    <row r="1154" spans="1:1" x14ac:dyDescent="0.25">
      <c r="A1154" s="2" t="s">
        <v>2087</v>
      </c>
    </row>
    <row r="1155" spans="1:1" x14ac:dyDescent="0.25">
      <c r="A1155" s="2" t="s">
        <v>1178</v>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59A5-B512-4597-B3EE-4DD00D8FAF42}">
  <dimension ref="A2:T13"/>
  <sheetViews>
    <sheetView topLeftCell="L1" zoomScale="71" zoomScaleNormal="71" workbookViewId="0">
      <selection activeCell="T22" sqref="T22"/>
    </sheetView>
  </sheetViews>
  <sheetFormatPr defaultRowHeight="15" x14ac:dyDescent="0.25"/>
  <cols>
    <col min="1" max="1" width="24.7109375" bestFit="1" customWidth="1"/>
    <col min="2" max="2" width="21.28515625" bestFit="1" customWidth="1"/>
    <col min="4" max="4" width="40.140625" bestFit="1" customWidth="1"/>
    <col min="5" max="5" width="24.7109375" bestFit="1" customWidth="1"/>
    <col min="7" max="7" width="24.7109375" bestFit="1" customWidth="1"/>
    <col min="8" max="8" width="24.42578125" bestFit="1" customWidth="1"/>
    <col min="10" max="10" width="24.7109375" bestFit="1" customWidth="1"/>
    <col min="11" max="11" width="24.28515625" bestFit="1" customWidth="1"/>
    <col min="13" max="13" width="24.7109375" bestFit="1" customWidth="1"/>
    <col min="14" max="14" width="29.140625" bestFit="1" customWidth="1"/>
    <col min="16" max="16" width="17.7109375" bestFit="1" customWidth="1"/>
    <col min="17" max="17" width="28.5703125" bestFit="1" customWidth="1"/>
    <col min="18" max="19" width="17.7109375" bestFit="1" customWidth="1"/>
    <col min="20" max="20" width="28.5703125" bestFit="1" customWidth="1"/>
  </cols>
  <sheetData>
    <row r="2" spans="1:20" x14ac:dyDescent="0.25">
      <c r="A2" s="7" t="s">
        <v>2330</v>
      </c>
      <c r="D2" s="7" t="s">
        <v>2331</v>
      </c>
      <c r="G2" s="7" t="s">
        <v>2332</v>
      </c>
      <c r="J2" s="7" t="s">
        <v>2333</v>
      </c>
      <c r="M2" s="7" t="s">
        <v>2334</v>
      </c>
      <c r="P2" s="15" t="s">
        <v>2335</v>
      </c>
      <c r="Q2" s="15"/>
    </row>
    <row r="3" spans="1:20" x14ac:dyDescent="0.25">
      <c r="A3" s="1" t="s">
        <v>1177</v>
      </c>
      <c r="B3" t="s">
        <v>2323</v>
      </c>
      <c r="D3" s="1" t="s">
        <v>1177</v>
      </c>
      <c r="E3" t="s">
        <v>2337</v>
      </c>
      <c r="G3" s="1" t="s">
        <v>1177</v>
      </c>
      <c r="H3" t="s">
        <v>2322</v>
      </c>
      <c r="J3" s="1" t="s">
        <v>1177</v>
      </c>
      <c r="K3" t="s">
        <v>2327</v>
      </c>
      <c r="M3" s="1" t="s">
        <v>1177</v>
      </c>
      <c r="N3" t="s">
        <v>2328</v>
      </c>
      <c r="P3" s="1" t="s">
        <v>1177</v>
      </c>
      <c r="Q3" t="s">
        <v>2329</v>
      </c>
      <c r="S3" s="1" t="s">
        <v>1177</v>
      </c>
      <c r="T3" t="s">
        <v>2329</v>
      </c>
    </row>
    <row r="4" spans="1:20" x14ac:dyDescent="0.25">
      <c r="A4" s="2" t="s">
        <v>867</v>
      </c>
      <c r="B4" s="8">
        <v>3.8</v>
      </c>
      <c r="D4" s="2" t="s">
        <v>1186</v>
      </c>
      <c r="E4" s="16">
        <v>426973</v>
      </c>
      <c r="G4" s="2" t="s">
        <v>867</v>
      </c>
      <c r="H4" s="8">
        <v>42</v>
      </c>
      <c r="J4" s="2" t="s">
        <v>9</v>
      </c>
      <c r="K4" s="5">
        <v>297</v>
      </c>
      <c r="M4" s="2" t="s">
        <v>867</v>
      </c>
      <c r="N4" s="5">
        <v>4000</v>
      </c>
      <c r="P4" s="2" t="s">
        <v>2340</v>
      </c>
      <c r="Q4" s="5">
        <v>153</v>
      </c>
      <c r="S4" s="2" t="s">
        <v>2340</v>
      </c>
      <c r="T4" s="5">
        <v>153</v>
      </c>
    </row>
    <row r="5" spans="1:20" x14ac:dyDescent="0.25">
      <c r="A5" s="2" t="s">
        <v>9</v>
      </c>
      <c r="B5" s="8">
        <v>4.1528619528619481</v>
      </c>
      <c r="D5" s="2" t="s">
        <v>1417</v>
      </c>
      <c r="E5" s="16">
        <v>363713</v>
      </c>
      <c r="G5" s="2" t="s">
        <v>9</v>
      </c>
      <c r="H5" s="8">
        <v>52.36700336700337</v>
      </c>
      <c r="J5" s="2" t="s">
        <v>10</v>
      </c>
      <c r="K5" s="5">
        <v>382</v>
      </c>
      <c r="M5" s="2" t="s">
        <v>9</v>
      </c>
      <c r="N5" s="5">
        <v>3539.8047138047136</v>
      </c>
      <c r="P5" s="2" t="s">
        <v>2336</v>
      </c>
      <c r="Q5" s="5">
        <v>515</v>
      </c>
      <c r="S5" s="2" t="s">
        <v>2336</v>
      </c>
      <c r="T5" s="5">
        <v>515</v>
      </c>
    </row>
    <row r="6" spans="1:20" x14ac:dyDescent="0.25">
      <c r="A6" s="2" t="s">
        <v>10</v>
      </c>
      <c r="B6" s="8">
        <v>4.0617801047120414</v>
      </c>
      <c r="D6" s="2" t="s">
        <v>1551</v>
      </c>
      <c r="E6" s="16">
        <v>363711</v>
      </c>
      <c r="G6" s="2" t="s">
        <v>10</v>
      </c>
      <c r="H6" s="8">
        <v>48.856020942408378</v>
      </c>
      <c r="J6" s="2" t="s">
        <v>413</v>
      </c>
      <c r="K6" s="5">
        <v>436</v>
      </c>
      <c r="M6" s="2" t="s">
        <v>10</v>
      </c>
      <c r="N6" s="5">
        <v>9719.1570680628265</v>
      </c>
      <c r="P6" s="2" t="s">
        <v>2339</v>
      </c>
      <c r="Q6" s="5">
        <v>483</v>
      </c>
      <c r="S6" s="2" t="s">
        <v>2339</v>
      </c>
      <c r="T6" s="5">
        <v>483</v>
      </c>
    </row>
    <row r="7" spans="1:20" x14ac:dyDescent="0.25">
      <c r="A7" s="2" t="s">
        <v>955</v>
      </c>
      <c r="B7" s="8">
        <v>4</v>
      </c>
      <c r="D7" s="2" t="s">
        <v>1427</v>
      </c>
      <c r="E7" s="16">
        <v>313836</v>
      </c>
      <c r="G7" s="2" t="s">
        <v>955</v>
      </c>
      <c r="H7" s="8">
        <v>53</v>
      </c>
      <c r="J7" s="2" t="s">
        <v>411</v>
      </c>
      <c r="K7" s="5">
        <v>29</v>
      </c>
      <c r="M7" s="2" t="s">
        <v>955</v>
      </c>
      <c r="N7" s="5">
        <v>1900</v>
      </c>
    </row>
    <row r="8" spans="1:20" x14ac:dyDescent="0.25">
      <c r="A8" s="2" t="s">
        <v>413</v>
      </c>
      <c r="B8" s="8">
        <v>4.0399999999999983</v>
      </c>
      <c r="D8" s="2" t="s">
        <v>1479</v>
      </c>
      <c r="E8" s="16">
        <v>313832</v>
      </c>
      <c r="G8" s="2" t="s">
        <v>413</v>
      </c>
      <c r="H8" s="8">
        <v>40.298165137614681</v>
      </c>
      <c r="M8" s="2" t="s">
        <v>413</v>
      </c>
      <c r="N8" s="5">
        <v>4196.7752293577978</v>
      </c>
    </row>
    <row r="9" spans="1:20" x14ac:dyDescent="0.25">
      <c r="A9" s="2" t="s">
        <v>559</v>
      </c>
      <c r="B9" s="8">
        <v>4.25</v>
      </c>
      <c r="D9" s="2" t="s">
        <v>1428</v>
      </c>
      <c r="E9" s="16">
        <v>313836</v>
      </c>
      <c r="G9" s="2" t="s">
        <v>559</v>
      </c>
      <c r="H9" s="8">
        <v>57.5</v>
      </c>
      <c r="M9" s="2" t="s">
        <v>559</v>
      </c>
      <c r="N9" s="5">
        <v>799</v>
      </c>
    </row>
    <row r="10" spans="1:20" x14ac:dyDescent="0.25">
      <c r="A10" s="2" t="s">
        <v>408</v>
      </c>
      <c r="B10" s="8">
        <v>3.9</v>
      </c>
      <c r="G10" s="2" t="s">
        <v>408</v>
      </c>
      <c r="H10" s="8">
        <v>46</v>
      </c>
      <c r="M10" s="2" t="s">
        <v>408</v>
      </c>
      <c r="N10" s="5">
        <v>1347</v>
      </c>
    </row>
    <row r="11" spans="1:20" x14ac:dyDescent="0.25">
      <c r="A11" s="2" t="s">
        <v>411</v>
      </c>
      <c r="B11" s="8">
        <v>4.2965517241379301</v>
      </c>
      <c r="G11" s="2" t="s">
        <v>411</v>
      </c>
      <c r="H11" s="8">
        <v>12.448275862068966</v>
      </c>
      <c r="M11" s="2" t="s">
        <v>411</v>
      </c>
      <c r="N11" s="5">
        <v>408.20689655172413</v>
      </c>
    </row>
    <row r="12" spans="1:20" x14ac:dyDescent="0.25">
      <c r="A12" s="2" t="s">
        <v>659</v>
      </c>
      <c r="B12" s="8">
        <v>4.3</v>
      </c>
      <c r="G12" s="2" t="s">
        <v>659</v>
      </c>
      <c r="H12" s="8">
        <v>0</v>
      </c>
      <c r="M12" s="2" t="s">
        <v>659</v>
      </c>
      <c r="N12" s="5">
        <v>150</v>
      </c>
    </row>
    <row r="13" spans="1:20" x14ac:dyDescent="0.25">
      <c r="A13" s="2" t="s">
        <v>1178</v>
      </c>
      <c r="B13" s="16">
        <v>4.0829565217391313</v>
      </c>
    </row>
  </sheetData>
  <mergeCells count="1">
    <mergeCell ref="P2:Q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39C2B-1117-4701-B0E5-84552224F68B}">
  <dimension ref="A1:I1152"/>
  <sheetViews>
    <sheetView topLeftCell="B1" zoomScale="91" zoomScaleNormal="91" workbookViewId="0">
      <selection activeCell="K9" sqref="K9"/>
    </sheetView>
  </sheetViews>
  <sheetFormatPr defaultRowHeight="15" x14ac:dyDescent="0.25"/>
  <cols>
    <col min="1" max="1" width="14.85546875" bestFit="1" customWidth="1"/>
    <col min="2" max="2" width="81.140625" bestFit="1" customWidth="1"/>
    <col min="3" max="3" width="22.85546875" bestFit="1" customWidth="1"/>
    <col min="4" max="4" width="18.7109375" bestFit="1" customWidth="1"/>
    <col min="5" max="5" width="14.85546875" style="9" bestFit="1" customWidth="1"/>
    <col min="6" max="6" width="10.85546875" bestFit="1" customWidth="1"/>
    <col min="7" max="7" width="8.5703125" bestFit="1" customWidth="1"/>
    <col min="8" max="8" width="14.42578125" style="17" bestFit="1" customWidth="1"/>
    <col min="9" max="9" width="14" style="17" bestFit="1" customWidth="1"/>
  </cols>
  <sheetData>
    <row r="1" spans="1:9" x14ac:dyDescent="0.25">
      <c r="A1" t="s">
        <v>0</v>
      </c>
      <c r="B1" t="s">
        <v>1</v>
      </c>
      <c r="C1" t="s">
        <v>2</v>
      </c>
      <c r="D1" t="s">
        <v>3</v>
      </c>
      <c r="E1" s="9" t="s">
        <v>4</v>
      </c>
      <c r="F1" t="s">
        <v>5</v>
      </c>
      <c r="G1" t="s">
        <v>6</v>
      </c>
      <c r="H1" s="17" t="s">
        <v>7</v>
      </c>
      <c r="I1" t="s">
        <v>2338</v>
      </c>
    </row>
    <row r="2" spans="1:9" x14ac:dyDescent="0.25">
      <c r="A2" t="s">
        <v>8</v>
      </c>
      <c r="B2" t="s">
        <v>1179</v>
      </c>
      <c r="C2" t="s">
        <v>9</v>
      </c>
      <c r="D2">
        <v>499</v>
      </c>
      <c r="E2" s="9">
        <v>999</v>
      </c>
      <c r="F2">
        <v>50</v>
      </c>
      <c r="G2">
        <v>4.2</v>
      </c>
      <c r="H2" s="18">
        <v>179691</v>
      </c>
      <c r="I2" t="s">
        <v>2336</v>
      </c>
    </row>
    <row r="3" spans="1:9" x14ac:dyDescent="0.25">
      <c r="A3" t="s">
        <v>11</v>
      </c>
      <c r="B3" t="s">
        <v>1180</v>
      </c>
      <c r="C3" t="s">
        <v>10</v>
      </c>
      <c r="D3">
        <v>11499</v>
      </c>
      <c r="E3" s="9">
        <v>19990</v>
      </c>
      <c r="F3">
        <v>42</v>
      </c>
      <c r="G3">
        <v>4.3</v>
      </c>
      <c r="H3" s="18">
        <v>4703</v>
      </c>
      <c r="I3" t="s">
        <v>2339</v>
      </c>
    </row>
    <row r="4" spans="1:9" x14ac:dyDescent="0.25">
      <c r="A4" t="s">
        <v>12</v>
      </c>
      <c r="B4" t="s">
        <v>1181</v>
      </c>
      <c r="C4" t="s">
        <v>10</v>
      </c>
      <c r="D4">
        <v>14999</v>
      </c>
      <c r="E4" s="9">
        <v>19999</v>
      </c>
      <c r="F4">
        <v>25</v>
      </c>
      <c r="G4">
        <v>4.2</v>
      </c>
      <c r="H4" s="18">
        <v>34899</v>
      </c>
      <c r="I4" t="s">
        <v>2339</v>
      </c>
    </row>
    <row r="5" spans="1:9" x14ac:dyDescent="0.25">
      <c r="A5" t="s">
        <v>13</v>
      </c>
      <c r="B5" t="s">
        <v>1182</v>
      </c>
      <c r="C5" t="s">
        <v>10</v>
      </c>
      <c r="D5">
        <v>32999</v>
      </c>
      <c r="E5" s="9">
        <v>45999</v>
      </c>
      <c r="F5">
        <v>28</v>
      </c>
      <c r="G5">
        <v>4.2</v>
      </c>
      <c r="H5" s="18">
        <v>7298</v>
      </c>
      <c r="I5" t="s">
        <v>2339</v>
      </c>
    </row>
    <row r="6" spans="1:9" x14ac:dyDescent="0.25">
      <c r="A6" t="s">
        <v>14</v>
      </c>
      <c r="B6" t="s">
        <v>1183</v>
      </c>
      <c r="C6" t="s">
        <v>10</v>
      </c>
      <c r="D6">
        <v>19999</v>
      </c>
      <c r="E6" s="9">
        <v>34999</v>
      </c>
      <c r="F6">
        <v>43</v>
      </c>
      <c r="G6">
        <v>4.3</v>
      </c>
      <c r="H6" s="18">
        <v>27151</v>
      </c>
      <c r="I6" t="s">
        <v>2339</v>
      </c>
    </row>
    <row r="7" spans="1:9" x14ac:dyDescent="0.25">
      <c r="A7" t="s">
        <v>15</v>
      </c>
      <c r="B7" t="s">
        <v>1184</v>
      </c>
      <c r="C7" t="s">
        <v>9</v>
      </c>
      <c r="D7">
        <v>399</v>
      </c>
      <c r="E7" s="9">
        <v>1099</v>
      </c>
      <c r="F7">
        <v>64</v>
      </c>
      <c r="G7">
        <v>4.2</v>
      </c>
      <c r="H7" s="18">
        <v>24269</v>
      </c>
      <c r="I7" t="s">
        <v>2336</v>
      </c>
    </row>
    <row r="8" spans="1:9" x14ac:dyDescent="0.25">
      <c r="A8" t="s">
        <v>16</v>
      </c>
      <c r="B8" t="s">
        <v>1185</v>
      </c>
      <c r="C8" t="s">
        <v>9</v>
      </c>
      <c r="D8">
        <v>59</v>
      </c>
      <c r="E8" s="9">
        <v>199</v>
      </c>
      <c r="F8">
        <v>70</v>
      </c>
      <c r="G8">
        <v>4</v>
      </c>
      <c r="H8" s="18">
        <v>9378</v>
      </c>
      <c r="I8" t="s">
        <v>2340</v>
      </c>
    </row>
    <row r="9" spans="1:9" x14ac:dyDescent="0.25">
      <c r="A9" t="s">
        <v>17</v>
      </c>
      <c r="B9" t="s">
        <v>1186</v>
      </c>
      <c r="C9" t="s">
        <v>10</v>
      </c>
      <c r="D9">
        <v>309</v>
      </c>
      <c r="E9" s="9">
        <v>475</v>
      </c>
      <c r="F9">
        <v>35</v>
      </c>
      <c r="G9">
        <v>4.4000000000000004</v>
      </c>
      <c r="H9" s="18">
        <v>426973</v>
      </c>
      <c r="I9" t="s">
        <v>2340</v>
      </c>
    </row>
    <row r="10" spans="1:9" x14ac:dyDescent="0.25">
      <c r="A10" t="s">
        <v>18</v>
      </c>
      <c r="B10" t="s">
        <v>1187</v>
      </c>
      <c r="C10" t="s">
        <v>10</v>
      </c>
      <c r="D10">
        <v>399</v>
      </c>
      <c r="E10" s="9">
        <v>999</v>
      </c>
      <c r="F10">
        <v>60</v>
      </c>
      <c r="G10">
        <v>3.6</v>
      </c>
      <c r="H10" s="18">
        <v>493</v>
      </c>
      <c r="I10" t="s">
        <v>2336</v>
      </c>
    </row>
    <row r="11" spans="1:9" x14ac:dyDescent="0.25">
      <c r="A11" t="s">
        <v>19</v>
      </c>
      <c r="B11" t="s">
        <v>1188</v>
      </c>
      <c r="C11" t="s">
        <v>9</v>
      </c>
      <c r="D11">
        <v>179</v>
      </c>
      <c r="E11" s="9">
        <v>500</v>
      </c>
      <c r="F11">
        <v>64</v>
      </c>
      <c r="G11">
        <v>4.2</v>
      </c>
      <c r="H11" s="18">
        <v>92595</v>
      </c>
      <c r="I11" t="s">
        <v>2336</v>
      </c>
    </row>
    <row r="12" spans="1:9" x14ac:dyDescent="0.25">
      <c r="A12" t="s">
        <v>20</v>
      </c>
      <c r="B12" t="s">
        <v>1189</v>
      </c>
      <c r="C12" t="s">
        <v>10</v>
      </c>
      <c r="D12">
        <v>6999</v>
      </c>
      <c r="E12" s="9">
        <v>12999</v>
      </c>
      <c r="F12">
        <v>46</v>
      </c>
      <c r="G12">
        <v>4.2</v>
      </c>
      <c r="H12" s="18">
        <v>4003</v>
      </c>
      <c r="I12" t="s">
        <v>2339</v>
      </c>
    </row>
    <row r="13" spans="1:9" x14ac:dyDescent="0.25">
      <c r="A13" t="s">
        <v>21</v>
      </c>
      <c r="B13" t="s">
        <v>22</v>
      </c>
      <c r="C13" t="s">
        <v>10</v>
      </c>
      <c r="D13">
        <v>230</v>
      </c>
      <c r="E13" s="9">
        <v>499</v>
      </c>
      <c r="F13">
        <v>54</v>
      </c>
      <c r="G13">
        <v>3.7</v>
      </c>
      <c r="H13" s="18">
        <v>2960</v>
      </c>
      <c r="I13" t="s">
        <v>2340</v>
      </c>
    </row>
    <row r="14" spans="1:9" x14ac:dyDescent="0.25">
      <c r="A14" t="s">
        <v>23</v>
      </c>
      <c r="B14" t="s">
        <v>1190</v>
      </c>
      <c r="C14" t="s">
        <v>9</v>
      </c>
      <c r="D14">
        <v>649</v>
      </c>
      <c r="E14" s="9">
        <v>1399</v>
      </c>
      <c r="F14">
        <v>54</v>
      </c>
      <c r="G14">
        <v>4.2</v>
      </c>
      <c r="H14" s="18">
        <v>179691</v>
      </c>
      <c r="I14" t="s">
        <v>2336</v>
      </c>
    </row>
    <row r="15" spans="1:9" x14ac:dyDescent="0.25">
      <c r="A15" t="s">
        <v>24</v>
      </c>
      <c r="B15" t="s">
        <v>1191</v>
      </c>
      <c r="C15" t="s">
        <v>10</v>
      </c>
      <c r="D15">
        <v>179</v>
      </c>
      <c r="E15" s="9">
        <v>799</v>
      </c>
      <c r="F15">
        <v>78</v>
      </c>
      <c r="G15">
        <v>3.7</v>
      </c>
      <c r="H15" s="18">
        <v>2201</v>
      </c>
      <c r="I15" t="s">
        <v>2336</v>
      </c>
    </row>
    <row r="16" spans="1:9" x14ac:dyDescent="0.25">
      <c r="A16" t="s">
        <v>25</v>
      </c>
      <c r="B16" t="s">
        <v>1192</v>
      </c>
      <c r="C16" t="s">
        <v>10</v>
      </c>
      <c r="D16">
        <v>1599</v>
      </c>
      <c r="E16" s="9">
        <v>2999</v>
      </c>
      <c r="F16">
        <v>47</v>
      </c>
      <c r="G16">
        <v>4.2</v>
      </c>
      <c r="H16" s="18">
        <v>2727</v>
      </c>
      <c r="I16" t="s">
        <v>2339</v>
      </c>
    </row>
    <row r="17" spans="1:9" x14ac:dyDescent="0.25">
      <c r="A17" t="s">
        <v>26</v>
      </c>
      <c r="B17" t="s">
        <v>1193</v>
      </c>
      <c r="C17" t="s">
        <v>10</v>
      </c>
      <c r="D17">
        <v>26999</v>
      </c>
      <c r="E17" s="9">
        <v>42999</v>
      </c>
      <c r="F17">
        <v>37</v>
      </c>
      <c r="G17">
        <v>4.2</v>
      </c>
      <c r="H17" s="18">
        <v>45238</v>
      </c>
      <c r="I17" t="s">
        <v>2339</v>
      </c>
    </row>
    <row r="18" spans="1:9" x14ac:dyDescent="0.25">
      <c r="A18" t="s">
        <v>27</v>
      </c>
      <c r="B18" t="s">
        <v>1194</v>
      </c>
      <c r="C18" t="s">
        <v>9</v>
      </c>
      <c r="D18">
        <v>399</v>
      </c>
      <c r="E18" s="9">
        <v>1099</v>
      </c>
      <c r="F18">
        <v>64</v>
      </c>
      <c r="G18">
        <v>4.2</v>
      </c>
      <c r="H18" s="18">
        <v>24269</v>
      </c>
      <c r="I18" t="s">
        <v>2336</v>
      </c>
    </row>
    <row r="19" spans="1:9" x14ac:dyDescent="0.25">
      <c r="A19" t="s">
        <v>28</v>
      </c>
      <c r="B19" t="s">
        <v>1195</v>
      </c>
      <c r="C19" t="s">
        <v>9</v>
      </c>
      <c r="D19">
        <v>139</v>
      </c>
      <c r="E19" s="9">
        <v>249</v>
      </c>
      <c r="F19">
        <v>44</v>
      </c>
      <c r="G19">
        <v>4</v>
      </c>
      <c r="H19" s="18">
        <v>9378</v>
      </c>
      <c r="I19" t="s">
        <v>2340</v>
      </c>
    </row>
    <row r="20" spans="1:9" x14ac:dyDescent="0.25">
      <c r="A20" t="s">
        <v>29</v>
      </c>
      <c r="B20" t="s">
        <v>1196</v>
      </c>
      <c r="C20" t="s">
        <v>10</v>
      </c>
      <c r="D20">
        <v>7299</v>
      </c>
      <c r="E20" s="9">
        <v>19125</v>
      </c>
      <c r="F20">
        <v>62</v>
      </c>
      <c r="G20">
        <v>3.4</v>
      </c>
      <c r="H20" s="18">
        <v>902</v>
      </c>
      <c r="I20" t="s">
        <v>2339</v>
      </c>
    </row>
    <row r="21" spans="1:9" x14ac:dyDescent="0.25">
      <c r="A21" t="s">
        <v>30</v>
      </c>
      <c r="B21" t="s">
        <v>1197</v>
      </c>
      <c r="C21" t="s">
        <v>10</v>
      </c>
      <c r="D21">
        <v>27999</v>
      </c>
      <c r="E21" s="9">
        <v>40990</v>
      </c>
      <c r="F21">
        <v>32</v>
      </c>
      <c r="G21">
        <v>4.3</v>
      </c>
      <c r="H21" s="18">
        <v>4703</v>
      </c>
      <c r="I21" t="s">
        <v>2339</v>
      </c>
    </row>
    <row r="22" spans="1:9" x14ac:dyDescent="0.25">
      <c r="A22" t="s">
        <v>31</v>
      </c>
      <c r="B22" t="s">
        <v>1198</v>
      </c>
      <c r="C22" t="s">
        <v>10</v>
      </c>
      <c r="D22">
        <v>30990</v>
      </c>
      <c r="E22" s="9">
        <v>52900</v>
      </c>
      <c r="F22">
        <v>41</v>
      </c>
      <c r="G22">
        <v>4.3</v>
      </c>
      <c r="H22" s="18">
        <v>7109</v>
      </c>
      <c r="I22" t="s">
        <v>2339</v>
      </c>
    </row>
    <row r="23" spans="1:9" x14ac:dyDescent="0.25">
      <c r="A23" t="s">
        <v>32</v>
      </c>
      <c r="B23" t="s">
        <v>1199</v>
      </c>
      <c r="C23" t="s">
        <v>9</v>
      </c>
      <c r="D23">
        <v>649</v>
      </c>
      <c r="E23" s="9">
        <v>1999</v>
      </c>
      <c r="F23">
        <v>68</v>
      </c>
      <c r="G23">
        <v>4.2</v>
      </c>
      <c r="H23" s="18">
        <v>24269</v>
      </c>
      <c r="I23" t="s">
        <v>2336</v>
      </c>
    </row>
    <row r="24" spans="1:9" x14ac:dyDescent="0.25">
      <c r="A24" t="s">
        <v>33</v>
      </c>
      <c r="B24" t="s">
        <v>1200</v>
      </c>
      <c r="C24" t="s">
        <v>10</v>
      </c>
      <c r="D24">
        <v>24999</v>
      </c>
      <c r="E24" s="9">
        <v>31999</v>
      </c>
      <c r="F24">
        <v>22</v>
      </c>
      <c r="G24">
        <v>4.2</v>
      </c>
      <c r="H24" s="18">
        <v>34899</v>
      </c>
      <c r="I24" t="s">
        <v>2339</v>
      </c>
    </row>
    <row r="25" spans="1:9" x14ac:dyDescent="0.25">
      <c r="A25" t="s">
        <v>34</v>
      </c>
      <c r="B25" t="s">
        <v>1201</v>
      </c>
      <c r="C25" t="s">
        <v>9</v>
      </c>
      <c r="D25">
        <v>299</v>
      </c>
      <c r="E25" s="9">
        <v>699</v>
      </c>
      <c r="F25">
        <v>57</v>
      </c>
      <c r="G25">
        <v>4.2</v>
      </c>
      <c r="H25" s="18">
        <v>94363</v>
      </c>
      <c r="I25" t="s">
        <v>2336</v>
      </c>
    </row>
    <row r="26" spans="1:9" x14ac:dyDescent="0.25">
      <c r="A26" t="s">
        <v>35</v>
      </c>
      <c r="B26" t="s">
        <v>1202</v>
      </c>
      <c r="C26" t="s">
        <v>9</v>
      </c>
      <c r="D26">
        <v>199</v>
      </c>
      <c r="E26" s="9">
        <v>999</v>
      </c>
      <c r="F26">
        <v>80</v>
      </c>
      <c r="G26">
        <v>4.0999999999999996</v>
      </c>
      <c r="H26" s="18">
        <v>425</v>
      </c>
      <c r="I26" t="s">
        <v>2336</v>
      </c>
    </row>
    <row r="27" spans="1:9" x14ac:dyDescent="0.25">
      <c r="A27" t="s">
        <v>36</v>
      </c>
      <c r="B27" t="s">
        <v>1203</v>
      </c>
      <c r="C27" t="s">
        <v>10</v>
      </c>
      <c r="D27">
        <v>18990</v>
      </c>
      <c r="E27" s="9">
        <v>40990</v>
      </c>
      <c r="F27">
        <v>54</v>
      </c>
      <c r="G27">
        <v>4.2</v>
      </c>
      <c r="H27" s="18">
        <v>6659</v>
      </c>
      <c r="I27" t="s">
        <v>2339</v>
      </c>
    </row>
    <row r="28" spans="1:9" x14ac:dyDescent="0.25">
      <c r="A28" t="s">
        <v>37</v>
      </c>
      <c r="B28" t="s">
        <v>1204</v>
      </c>
      <c r="C28" t="s">
        <v>9</v>
      </c>
      <c r="D28">
        <v>290</v>
      </c>
      <c r="E28" s="9">
        <v>349</v>
      </c>
      <c r="F28">
        <v>17</v>
      </c>
      <c r="G28">
        <v>3.7</v>
      </c>
      <c r="H28" s="18">
        <v>1977</v>
      </c>
      <c r="I28" t="s">
        <v>2340</v>
      </c>
    </row>
    <row r="29" spans="1:9" x14ac:dyDescent="0.25">
      <c r="A29" t="s">
        <v>38</v>
      </c>
      <c r="B29" t="s">
        <v>1205</v>
      </c>
      <c r="C29" t="s">
        <v>10</v>
      </c>
      <c r="D29">
        <v>249</v>
      </c>
      <c r="E29" s="9">
        <v>799</v>
      </c>
      <c r="F29">
        <v>69</v>
      </c>
      <c r="G29">
        <v>3.8</v>
      </c>
      <c r="H29" s="18">
        <v>1079</v>
      </c>
      <c r="I29" t="s">
        <v>2336</v>
      </c>
    </row>
    <row r="30" spans="1:9" x14ac:dyDescent="0.25">
      <c r="A30" t="s">
        <v>39</v>
      </c>
      <c r="B30" t="s">
        <v>1206</v>
      </c>
      <c r="C30" t="s">
        <v>9</v>
      </c>
      <c r="D30">
        <v>345</v>
      </c>
      <c r="E30" s="9">
        <v>999</v>
      </c>
      <c r="F30">
        <v>65</v>
      </c>
      <c r="G30">
        <v>3.7</v>
      </c>
      <c r="H30" s="18">
        <v>1097</v>
      </c>
      <c r="I30" t="s">
        <v>2336</v>
      </c>
    </row>
    <row r="31" spans="1:9" x14ac:dyDescent="0.25">
      <c r="A31" t="s">
        <v>40</v>
      </c>
      <c r="B31" t="s">
        <v>1207</v>
      </c>
      <c r="C31" t="s">
        <v>9</v>
      </c>
      <c r="D31">
        <v>1099</v>
      </c>
      <c r="E31" s="9">
        <v>1899</v>
      </c>
      <c r="F31">
        <v>42</v>
      </c>
      <c r="G31">
        <v>4.5</v>
      </c>
      <c r="H31" s="18">
        <v>22420</v>
      </c>
      <c r="I31" t="s">
        <v>2336</v>
      </c>
    </row>
    <row r="32" spans="1:9" x14ac:dyDescent="0.25">
      <c r="A32" t="s">
        <v>41</v>
      </c>
      <c r="B32" t="s">
        <v>1208</v>
      </c>
      <c r="C32" t="s">
        <v>9</v>
      </c>
      <c r="D32">
        <v>719</v>
      </c>
      <c r="E32" s="9">
        <v>1499</v>
      </c>
      <c r="F32">
        <v>52</v>
      </c>
      <c r="G32">
        <v>4.0999999999999996</v>
      </c>
      <c r="H32" s="18">
        <v>1045</v>
      </c>
      <c r="I32" t="s">
        <v>2336</v>
      </c>
    </row>
    <row r="33" spans="1:9" x14ac:dyDescent="0.25">
      <c r="A33" t="s">
        <v>42</v>
      </c>
      <c r="B33" t="s">
        <v>1209</v>
      </c>
      <c r="C33" t="s">
        <v>10</v>
      </c>
      <c r="D33">
        <v>349</v>
      </c>
      <c r="E33" s="9">
        <v>1499</v>
      </c>
      <c r="F33">
        <v>77</v>
      </c>
      <c r="G33">
        <v>4.3</v>
      </c>
      <c r="H33" s="18">
        <v>4145</v>
      </c>
      <c r="I33" t="s">
        <v>2336</v>
      </c>
    </row>
    <row r="34" spans="1:9" x14ac:dyDescent="0.25">
      <c r="A34" t="s">
        <v>43</v>
      </c>
      <c r="B34" t="s">
        <v>1210</v>
      </c>
      <c r="C34" t="s">
        <v>9</v>
      </c>
      <c r="D34">
        <v>849</v>
      </c>
      <c r="E34" s="9">
        <v>1809</v>
      </c>
      <c r="F34">
        <v>53</v>
      </c>
      <c r="G34">
        <v>4.3</v>
      </c>
      <c r="H34" s="18">
        <v>6547</v>
      </c>
      <c r="I34" t="s">
        <v>2336</v>
      </c>
    </row>
    <row r="35" spans="1:9" x14ac:dyDescent="0.25">
      <c r="A35" t="s">
        <v>44</v>
      </c>
      <c r="B35" t="s">
        <v>1211</v>
      </c>
      <c r="C35" t="s">
        <v>10</v>
      </c>
      <c r="D35">
        <v>299</v>
      </c>
      <c r="E35" s="9">
        <v>899</v>
      </c>
      <c r="F35">
        <v>67</v>
      </c>
      <c r="G35">
        <v>4</v>
      </c>
      <c r="H35" s="18">
        <v>1588</v>
      </c>
      <c r="I35" t="s">
        <v>2336</v>
      </c>
    </row>
    <row r="36" spans="1:9" x14ac:dyDescent="0.25">
      <c r="A36" t="s">
        <v>45</v>
      </c>
      <c r="B36" t="s">
        <v>1212</v>
      </c>
      <c r="C36" t="s">
        <v>9</v>
      </c>
      <c r="D36">
        <v>349</v>
      </c>
      <c r="E36" s="9">
        <v>999</v>
      </c>
      <c r="F36">
        <v>65</v>
      </c>
      <c r="G36">
        <v>4.2</v>
      </c>
      <c r="H36" s="18">
        <v>13120</v>
      </c>
      <c r="I36" t="s">
        <v>2336</v>
      </c>
    </row>
    <row r="37" spans="1:9" x14ac:dyDescent="0.25">
      <c r="A37" t="s">
        <v>46</v>
      </c>
      <c r="B37" t="s">
        <v>1213</v>
      </c>
      <c r="C37" t="s">
        <v>9</v>
      </c>
      <c r="D37">
        <v>449</v>
      </c>
      <c r="E37" s="9">
        <v>1299</v>
      </c>
      <c r="F37">
        <v>65</v>
      </c>
      <c r="G37">
        <v>4.2</v>
      </c>
      <c r="H37" s="18">
        <v>24269</v>
      </c>
      <c r="I37" t="s">
        <v>2336</v>
      </c>
    </row>
    <row r="38" spans="1:9" x14ac:dyDescent="0.25">
      <c r="A38" t="s">
        <v>47</v>
      </c>
      <c r="B38" t="s">
        <v>1214</v>
      </c>
      <c r="C38" t="s">
        <v>9</v>
      </c>
      <c r="D38">
        <v>299</v>
      </c>
      <c r="E38" s="9">
        <v>999</v>
      </c>
      <c r="F38">
        <v>70</v>
      </c>
      <c r="G38">
        <v>4.3</v>
      </c>
      <c r="H38" s="18">
        <v>766</v>
      </c>
      <c r="I38" t="s">
        <v>2336</v>
      </c>
    </row>
    <row r="39" spans="1:9" x14ac:dyDescent="0.25">
      <c r="A39" t="s">
        <v>48</v>
      </c>
      <c r="B39" t="s">
        <v>1215</v>
      </c>
      <c r="C39" t="s">
        <v>10</v>
      </c>
      <c r="D39">
        <v>37999</v>
      </c>
      <c r="E39" s="9">
        <v>65000</v>
      </c>
      <c r="F39">
        <v>42</v>
      </c>
      <c r="G39">
        <v>4.3</v>
      </c>
      <c r="H39" s="18">
        <v>3587</v>
      </c>
      <c r="I39" t="s">
        <v>2339</v>
      </c>
    </row>
    <row r="40" spans="1:9" x14ac:dyDescent="0.25">
      <c r="A40" t="s">
        <v>49</v>
      </c>
      <c r="B40" t="s">
        <v>1216</v>
      </c>
      <c r="C40" t="s">
        <v>9</v>
      </c>
      <c r="D40">
        <v>99</v>
      </c>
      <c r="E40" s="9">
        <v>800</v>
      </c>
      <c r="F40">
        <v>88</v>
      </c>
      <c r="G40">
        <v>3.9</v>
      </c>
      <c r="H40" s="18">
        <v>24871</v>
      </c>
      <c r="I40" t="s">
        <v>2336</v>
      </c>
    </row>
    <row r="41" spans="1:9" x14ac:dyDescent="0.25">
      <c r="A41" t="s">
        <v>50</v>
      </c>
      <c r="B41" t="s">
        <v>1217</v>
      </c>
      <c r="C41" t="s">
        <v>10</v>
      </c>
      <c r="D41">
        <v>7390</v>
      </c>
      <c r="E41" s="9">
        <v>20000</v>
      </c>
      <c r="F41">
        <v>63</v>
      </c>
      <c r="G41">
        <v>4.0999999999999996</v>
      </c>
      <c r="H41" s="18">
        <v>2581</v>
      </c>
      <c r="I41" t="s">
        <v>2339</v>
      </c>
    </row>
    <row r="42" spans="1:9" x14ac:dyDescent="0.25">
      <c r="A42" t="s">
        <v>51</v>
      </c>
      <c r="B42" t="s">
        <v>1218</v>
      </c>
      <c r="C42" t="s">
        <v>9</v>
      </c>
      <c r="D42">
        <v>27310</v>
      </c>
      <c r="E42" s="9">
        <v>999</v>
      </c>
      <c r="F42">
        <v>73</v>
      </c>
      <c r="G42">
        <v>4.3</v>
      </c>
      <c r="H42" s="18">
        <v>20850</v>
      </c>
      <c r="I42" t="s">
        <v>2336</v>
      </c>
    </row>
    <row r="43" spans="1:9" x14ac:dyDescent="0.25">
      <c r="A43" t="s">
        <v>52</v>
      </c>
      <c r="B43" t="s">
        <v>1219</v>
      </c>
      <c r="C43" t="s">
        <v>10</v>
      </c>
      <c r="D43">
        <v>15990</v>
      </c>
      <c r="E43" s="9">
        <v>23990</v>
      </c>
      <c r="F43">
        <v>33</v>
      </c>
      <c r="G43">
        <v>4.3</v>
      </c>
      <c r="H43" s="18">
        <v>1035</v>
      </c>
      <c r="I43" t="s">
        <v>2339</v>
      </c>
    </row>
    <row r="44" spans="1:9" x14ac:dyDescent="0.25">
      <c r="A44" t="s">
        <v>53</v>
      </c>
      <c r="B44" t="s">
        <v>1220</v>
      </c>
      <c r="C44" t="s">
        <v>9</v>
      </c>
      <c r="D44">
        <v>399</v>
      </c>
      <c r="E44" s="9">
        <v>999</v>
      </c>
      <c r="F44">
        <v>60</v>
      </c>
      <c r="G44">
        <v>4.0999999999999996</v>
      </c>
      <c r="H44" s="18">
        <v>1780</v>
      </c>
      <c r="I44" t="s">
        <v>2336</v>
      </c>
    </row>
    <row r="45" spans="1:9" x14ac:dyDescent="0.25">
      <c r="A45" t="s">
        <v>54</v>
      </c>
      <c r="B45" t="s">
        <v>1221</v>
      </c>
      <c r="C45" t="s">
        <v>10</v>
      </c>
      <c r="D45">
        <v>399</v>
      </c>
      <c r="E45" s="9">
        <v>1999</v>
      </c>
      <c r="F45">
        <v>80</v>
      </c>
      <c r="G45">
        <v>4.5</v>
      </c>
      <c r="H45" s="18">
        <v>505</v>
      </c>
      <c r="I45" t="s">
        <v>2336</v>
      </c>
    </row>
    <row r="46" spans="1:9" x14ac:dyDescent="0.25">
      <c r="A46" t="s">
        <v>55</v>
      </c>
      <c r="B46" t="s">
        <v>1222</v>
      </c>
      <c r="C46" t="s">
        <v>9</v>
      </c>
      <c r="D46">
        <v>210</v>
      </c>
      <c r="E46" s="9">
        <v>399</v>
      </c>
      <c r="F46">
        <v>47</v>
      </c>
      <c r="G46">
        <v>4.0999999999999996</v>
      </c>
      <c r="H46" s="18">
        <v>1717</v>
      </c>
      <c r="I46" t="s">
        <v>2340</v>
      </c>
    </row>
    <row r="47" spans="1:9" x14ac:dyDescent="0.25">
      <c r="A47" t="s">
        <v>56</v>
      </c>
      <c r="B47" t="s">
        <v>1223</v>
      </c>
      <c r="C47" t="s">
        <v>10</v>
      </c>
      <c r="D47">
        <v>1299</v>
      </c>
      <c r="E47" s="9">
        <v>1999</v>
      </c>
      <c r="F47">
        <v>35</v>
      </c>
      <c r="G47">
        <v>3.6</v>
      </c>
      <c r="H47" s="18">
        <v>590</v>
      </c>
      <c r="I47" t="s">
        <v>2336</v>
      </c>
    </row>
    <row r="48" spans="1:9" x14ac:dyDescent="0.25">
      <c r="A48" t="s">
        <v>57</v>
      </c>
      <c r="B48" t="s">
        <v>1224</v>
      </c>
      <c r="C48" t="s">
        <v>9</v>
      </c>
      <c r="D48">
        <v>347</v>
      </c>
      <c r="E48" s="9">
        <v>999</v>
      </c>
      <c r="F48">
        <v>65</v>
      </c>
      <c r="G48">
        <v>3.5</v>
      </c>
      <c r="H48" s="18">
        <v>1121</v>
      </c>
      <c r="I48" t="s">
        <v>2336</v>
      </c>
    </row>
    <row r="49" spans="1:9" x14ac:dyDescent="0.25">
      <c r="A49" t="s">
        <v>58</v>
      </c>
      <c r="B49" t="s">
        <v>1225</v>
      </c>
      <c r="C49" t="s">
        <v>9</v>
      </c>
      <c r="D49">
        <v>149</v>
      </c>
      <c r="E49" s="9">
        <v>999</v>
      </c>
      <c r="F49">
        <v>85</v>
      </c>
      <c r="G49">
        <v>4</v>
      </c>
      <c r="H49" s="18">
        <v>1313</v>
      </c>
      <c r="I49" t="s">
        <v>2336</v>
      </c>
    </row>
    <row r="50" spans="1:9" x14ac:dyDescent="0.25">
      <c r="A50" t="s">
        <v>59</v>
      </c>
      <c r="B50" t="s">
        <v>1226</v>
      </c>
      <c r="C50" t="s">
        <v>9</v>
      </c>
      <c r="D50">
        <v>228</v>
      </c>
      <c r="E50" s="9">
        <v>899</v>
      </c>
      <c r="F50">
        <v>75</v>
      </c>
      <c r="G50">
        <v>3.8</v>
      </c>
      <c r="H50" s="18">
        <v>132</v>
      </c>
      <c r="I50" t="s">
        <v>2336</v>
      </c>
    </row>
    <row r="51" spans="1:9" x14ac:dyDescent="0.25">
      <c r="A51" t="s">
        <v>60</v>
      </c>
      <c r="B51" t="s">
        <v>1227</v>
      </c>
      <c r="C51" t="s">
        <v>10</v>
      </c>
      <c r="D51">
        <v>1499</v>
      </c>
      <c r="E51" s="9">
        <v>3999</v>
      </c>
      <c r="F51">
        <v>63</v>
      </c>
      <c r="G51">
        <v>3.7</v>
      </c>
      <c r="H51" s="18">
        <v>37</v>
      </c>
      <c r="I51" t="s">
        <v>2339</v>
      </c>
    </row>
    <row r="52" spans="1:9" x14ac:dyDescent="0.25">
      <c r="A52" t="s">
        <v>61</v>
      </c>
      <c r="B52" t="s">
        <v>1228</v>
      </c>
      <c r="C52" t="s">
        <v>10</v>
      </c>
      <c r="D52">
        <v>20990</v>
      </c>
      <c r="E52" s="9">
        <v>44990</v>
      </c>
      <c r="F52">
        <v>53</v>
      </c>
      <c r="G52">
        <v>4.0999999999999996</v>
      </c>
      <c r="H52" s="18">
        <v>1259</v>
      </c>
      <c r="I52" t="s">
        <v>2339</v>
      </c>
    </row>
    <row r="53" spans="1:9" x14ac:dyDescent="0.25">
      <c r="A53" t="s">
        <v>62</v>
      </c>
      <c r="B53" t="s">
        <v>1229</v>
      </c>
      <c r="C53" t="s">
        <v>10</v>
      </c>
      <c r="D53">
        <v>32999</v>
      </c>
      <c r="E53" s="9">
        <v>44999</v>
      </c>
      <c r="F53">
        <v>27</v>
      </c>
      <c r="G53">
        <v>4.2</v>
      </c>
      <c r="H53" s="18">
        <v>45238</v>
      </c>
      <c r="I53" t="s">
        <v>2339</v>
      </c>
    </row>
    <row r="54" spans="1:9" x14ac:dyDescent="0.25">
      <c r="A54" t="s">
        <v>63</v>
      </c>
      <c r="B54" t="s">
        <v>1230</v>
      </c>
      <c r="C54" t="s">
        <v>10</v>
      </c>
      <c r="D54">
        <v>799</v>
      </c>
      <c r="E54" s="9">
        <v>1700</v>
      </c>
      <c r="F54">
        <v>53</v>
      </c>
      <c r="G54">
        <v>4.0999999999999996</v>
      </c>
      <c r="H54" s="18">
        <v>28638</v>
      </c>
      <c r="I54" t="s">
        <v>2336</v>
      </c>
    </row>
    <row r="55" spans="1:9" x14ac:dyDescent="0.25">
      <c r="A55" t="s">
        <v>64</v>
      </c>
      <c r="B55" t="s">
        <v>1231</v>
      </c>
      <c r="C55" t="s">
        <v>10</v>
      </c>
      <c r="D55">
        <v>229</v>
      </c>
      <c r="E55" s="9">
        <v>595</v>
      </c>
      <c r="F55">
        <v>62</v>
      </c>
      <c r="G55">
        <v>4.3</v>
      </c>
      <c r="H55" s="18">
        <v>12835</v>
      </c>
      <c r="I55" t="s">
        <v>2336</v>
      </c>
    </row>
    <row r="56" spans="1:9" x14ac:dyDescent="0.25">
      <c r="A56" t="s">
        <v>65</v>
      </c>
      <c r="B56" t="s">
        <v>1232</v>
      </c>
      <c r="C56" t="s">
        <v>10</v>
      </c>
      <c r="D56">
        <v>9999</v>
      </c>
      <c r="E56" s="9">
        <v>27990</v>
      </c>
      <c r="F56">
        <v>64</v>
      </c>
      <c r="G56">
        <v>4.2</v>
      </c>
      <c r="H56" s="18">
        <v>1269</v>
      </c>
      <c r="I56" t="s">
        <v>2339</v>
      </c>
    </row>
    <row r="57" spans="1:9" x14ac:dyDescent="0.25">
      <c r="A57" t="s">
        <v>66</v>
      </c>
      <c r="B57" t="s">
        <v>1233</v>
      </c>
      <c r="C57" t="s">
        <v>10</v>
      </c>
      <c r="D57">
        <v>349</v>
      </c>
      <c r="E57" s="9">
        <v>599</v>
      </c>
      <c r="F57">
        <v>42</v>
      </c>
      <c r="G57">
        <v>4.2</v>
      </c>
      <c r="H57" s="18">
        <v>284</v>
      </c>
      <c r="I57" t="s">
        <v>2336</v>
      </c>
    </row>
    <row r="58" spans="1:9" x14ac:dyDescent="0.25">
      <c r="A58" t="s">
        <v>67</v>
      </c>
      <c r="B58" t="s">
        <v>1234</v>
      </c>
      <c r="C58" t="s">
        <v>10</v>
      </c>
      <c r="D58">
        <v>489</v>
      </c>
      <c r="E58" s="9">
        <v>1200</v>
      </c>
      <c r="F58">
        <v>59</v>
      </c>
      <c r="G58">
        <v>4.4000000000000004</v>
      </c>
      <c r="H58" s="18">
        <v>69538</v>
      </c>
      <c r="I58" t="s">
        <v>2336</v>
      </c>
    </row>
    <row r="59" spans="1:9" x14ac:dyDescent="0.25">
      <c r="A59" t="s">
        <v>68</v>
      </c>
      <c r="B59" t="s">
        <v>1235</v>
      </c>
      <c r="C59" t="s">
        <v>10</v>
      </c>
      <c r="D59">
        <v>23999</v>
      </c>
      <c r="E59" s="9">
        <v>34990</v>
      </c>
      <c r="F59">
        <v>31</v>
      </c>
      <c r="G59">
        <v>4.3</v>
      </c>
      <c r="H59" s="18">
        <v>4703</v>
      </c>
      <c r="I59" t="s">
        <v>2339</v>
      </c>
    </row>
    <row r="60" spans="1:9" x14ac:dyDescent="0.25">
      <c r="A60" t="s">
        <v>69</v>
      </c>
      <c r="B60" t="s">
        <v>1236</v>
      </c>
      <c r="C60" t="s">
        <v>10</v>
      </c>
      <c r="D60">
        <v>349</v>
      </c>
      <c r="E60" s="9">
        <v>1299</v>
      </c>
      <c r="F60">
        <v>73</v>
      </c>
      <c r="G60">
        <v>4</v>
      </c>
      <c r="H60" s="18">
        <v>3295</v>
      </c>
      <c r="I60" t="s">
        <v>2336</v>
      </c>
    </row>
    <row r="61" spans="1:9" x14ac:dyDescent="0.25">
      <c r="A61" t="s">
        <v>70</v>
      </c>
      <c r="B61" t="s">
        <v>1237</v>
      </c>
      <c r="C61" t="s">
        <v>9</v>
      </c>
      <c r="D61">
        <v>179</v>
      </c>
      <c r="E61" s="9">
        <v>299</v>
      </c>
      <c r="F61">
        <v>40</v>
      </c>
      <c r="G61">
        <v>3.9</v>
      </c>
      <c r="H61" s="18">
        <v>81</v>
      </c>
      <c r="I61" t="s">
        <v>2340</v>
      </c>
    </row>
    <row r="62" spans="1:9" x14ac:dyDescent="0.25">
      <c r="A62" t="s">
        <v>71</v>
      </c>
      <c r="B62" t="s">
        <v>1238</v>
      </c>
      <c r="C62" t="s">
        <v>9</v>
      </c>
      <c r="D62">
        <v>689</v>
      </c>
      <c r="E62" s="9">
        <v>1500</v>
      </c>
      <c r="F62">
        <v>54</v>
      </c>
      <c r="G62">
        <v>4.2</v>
      </c>
      <c r="H62" s="18">
        <v>42301</v>
      </c>
      <c r="I62" t="s">
        <v>2336</v>
      </c>
    </row>
    <row r="63" spans="1:9" x14ac:dyDescent="0.25">
      <c r="A63" t="s">
        <v>72</v>
      </c>
      <c r="B63" t="s">
        <v>1239</v>
      </c>
      <c r="C63" t="s">
        <v>10</v>
      </c>
      <c r="D63">
        <v>30990</v>
      </c>
      <c r="E63" s="9">
        <v>49990</v>
      </c>
      <c r="F63">
        <v>38</v>
      </c>
      <c r="G63">
        <v>4.3</v>
      </c>
      <c r="H63" s="18">
        <v>1376</v>
      </c>
      <c r="I63" t="s">
        <v>2339</v>
      </c>
    </row>
    <row r="64" spans="1:9" x14ac:dyDescent="0.25">
      <c r="A64" t="s">
        <v>73</v>
      </c>
      <c r="B64" t="s">
        <v>1240</v>
      </c>
      <c r="C64" t="s">
        <v>9</v>
      </c>
      <c r="D64">
        <v>249</v>
      </c>
      <c r="E64" s="9">
        <v>931</v>
      </c>
      <c r="F64">
        <v>73</v>
      </c>
      <c r="G64">
        <v>3.9</v>
      </c>
      <c r="H64" s="18">
        <v>1075</v>
      </c>
      <c r="I64" t="s">
        <v>2336</v>
      </c>
    </row>
    <row r="65" spans="1:9" x14ac:dyDescent="0.25">
      <c r="A65" t="s">
        <v>74</v>
      </c>
      <c r="B65" t="s">
        <v>1241</v>
      </c>
      <c r="C65" t="s">
        <v>10</v>
      </c>
      <c r="D65">
        <v>999</v>
      </c>
      <c r="E65" s="9">
        <v>2399</v>
      </c>
      <c r="F65">
        <v>58</v>
      </c>
      <c r="G65">
        <v>4.5999999999999996</v>
      </c>
      <c r="H65" s="18">
        <v>3664</v>
      </c>
      <c r="I65" t="s">
        <v>2339</v>
      </c>
    </row>
    <row r="66" spans="1:9" x14ac:dyDescent="0.25">
      <c r="A66" t="s">
        <v>75</v>
      </c>
      <c r="B66" t="s">
        <v>1242</v>
      </c>
      <c r="C66" t="s">
        <v>10</v>
      </c>
      <c r="D66">
        <v>399</v>
      </c>
      <c r="E66" s="9">
        <v>399</v>
      </c>
      <c r="F66">
        <v>0</v>
      </c>
      <c r="G66">
        <v>3.9</v>
      </c>
      <c r="H66" s="18">
        <v>1951</v>
      </c>
      <c r="I66" t="s">
        <v>2340</v>
      </c>
    </row>
    <row r="67" spans="1:9" x14ac:dyDescent="0.25">
      <c r="A67" t="s">
        <v>76</v>
      </c>
      <c r="B67" t="s">
        <v>1243</v>
      </c>
      <c r="C67" t="s">
        <v>9</v>
      </c>
      <c r="D67">
        <v>349</v>
      </c>
      <c r="E67" s="9">
        <v>699</v>
      </c>
      <c r="F67">
        <v>50</v>
      </c>
      <c r="G67">
        <v>4.3</v>
      </c>
      <c r="H67" s="18">
        <v>20850</v>
      </c>
      <c r="I67" t="s">
        <v>2336</v>
      </c>
    </row>
    <row r="68" spans="1:9" x14ac:dyDescent="0.25">
      <c r="A68" t="s">
        <v>77</v>
      </c>
      <c r="B68" t="s">
        <v>1244</v>
      </c>
      <c r="C68" t="s">
        <v>9</v>
      </c>
      <c r="D68">
        <v>399</v>
      </c>
      <c r="E68" s="9">
        <v>1099</v>
      </c>
      <c r="F68">
        <v>64</v>
      </c>
      <c r="G68">
        <v>4.0999999999999996</v>
      </c>
      <c r="H68" s="18">
        <v>2685</v>
      </c>
      <c r="I68" t="s">
        <v>2336</v>
      </c>
    </row>
    <row r="69" spans="1:9" x14ac:dyDescent="0.25">
      <c r="A69" t="s">
        <v>78</v>
      </c>
      <c r="B69" t="s">
        <v>1245</v>
      </c>
      <c r="C69" t="s">
        <v>9</v>
      </c>
      <c r="D69">
        <v>1699</v>
      </c>
      <c r="E69" s="9">
        <v>2999</v>
      </c>
      <c r="F69">
        <v>43</v>
      </c>
      <c r="G69">
        <v>4.4000000000000004</v>
      </c>
      <c r="H69" s="18">
        <v>24780</v>
      </c>
      <c r="I69" t="s">
        <v>2339</v>
      </c>
    </row>
    <row r="70" spans="1:9" x14ac:dyDescent="0.25">
      <c r="A70" t="s">
        <v>79</v>
      </c>
      <c r="B70" t="s">
        <v>1246</v>
      </c>
      <c r="C70" t="s">
        <v>10</v>
      </c>
      <c r="D70">
        <v>655</v>
      </c>
      <c r="E70" s="9">
        <v>1099</v>
      </c>
      <c r="F70">
        <v>40</v>
      </c>
      <c r="G70">
        <v>3.2</v>
      </c>
      <c r="H70" s="18">
        <v>285</v>
      </c>
      <c r="I70" t="s">
        <v>2336</v>
      </c>
    </row>
    <row r="71" spans="1:9" x14ac:dyDescent="0.25">
      <c r="A71" t="s">
        <v>80</v>
      </c>
      <c r="B71" t="s">
        <v>1247</v>
      </c>
      <c r="C71" t="s">
        <v>9</v>
      </c>
      <c r="D71">
        <v>749</v>
      </c>
      <c r="E71" s="9">
        <v>1339</v>
      </c>
      <c r="F71">
        <v>44</v>
      </c>
      <c r="G71">
        <v>4.2</v>
      </c>
      <c r="H71" s="18">
        <v>179692</v>
      </c>
      <c r="I71" t="s">
        <v>2336</v>
      </c>
    </row>
    <row r="72" spans="1:9" x14ac:dyDescent="0.25">
      <c r="A72" t="s">
        <v>81</v>
      </c>
      <c r="B72" t="s">
        <v>1248</v>
      </c>
      <c r="C72" t="s">
        <v>10</v>
      </c>
      <c r="D72">
        <v>195</v>
      </c>
      <c r="E72" s="9">
        <v>499</v>
      </c>
      <c r="F72">
        <v>61</v>
      </c>
      <c r="G72">
        <v>3.7</v>
      </c>
      <c r="H72" s="18">
        <v>1383</v>
      </c>
      <c r="I72" t="s">
        <v>2340</v>
      </c>
    </row>
    <row r="73" spans="1:9" x14ac:dyDescent="0.25">
      <c r="A73" t="s">
        <v>82</v>
      </c>
      <c r="B73" t="s">
        <v>1249</v>
      </c>
      <c r="C73" t="s">
        <v>9</v>
      </c>
      <c r="D73">
        <v>999</v>
      </c>
      <c r="E73" s="9">
        <v>2100</v>
      </c>
      <c r="F73">
        <v>52</v>
      </c>
      <c r="G73">
        <v>4.5</v>
      </c>
      <c r="H73" s="18">
        <v>5492</v>
      </c>
      <c r="I73" t="s">
        <v>2339</v>
      </c>
    </row>
    <row r="74" spans="1:9" x14ac:dyDescent="0.25">
      <c r="A74" t="s">
        <v>83</v>
      </c>
      <c r="B74" t="s">
        <v>1250</v>
      </c>
      <c r="C74" t="s">
        <v>9</v>
      </c>
      <c r="D74">
        <v>499</v>
      </c>
      <c r="E74" s="9">
        <v>899</v>
      </c>
      <c r="F74">
        <v>44</v>
      </c>
      <c r="G74">
        <v>4.2</v>
      </c>
      <c r="H74" s="18">
        <v>919</v>
      </c>
      <c r="I74" t="s">
        <v>2336</v>
      </c>
    </row>
    <row r="75" spans="1:9" x14ac:dyDescent="0.25">
      <c r="A75" t="s">
        <v>84</v>
      </c>
      <c r="B75" t="s">
        <v>1251</v>
      </c>
      <c r="C75" t="s">
        <v>10</v>
      </c>
      <c r="D75">
        <v>416</v>
      </c>
      <c r="E75" s="9">
        <v>599</v>
      </c>
      <c r="F75">
        <v>31</v>
      </c>
      <c r="G75">
        <v>4.2</v>
      </c>
      <c r="H75" s="18">
        <v>30023</v>
      </c>
      <c r="I75" t="s">
        <v>2336</v>
      </c>
    </row>
    <row r="76" spans="1:9" x14ac:dyDescent="0.25">
      <c r="A76" t="s">
        <v>85</v>
      </c>
      <c r="B76" t="s">
        <v>1252</v>
      </c>
      <c r="C76" t="s">
        <v>9</v>
      </c>
      <c r="D76">
        <v>368</v>
      </c>
      <c r="E76" s="9">
        <v>699</v>
      </c>
      <c r="F76">
        <v>47</v>
      </c>
      <c r="G76">
        <v>4.2</v>
      </c>
      <c r="H76" s="18">
        <v>387</v>
      </c>
      <c r="I76" t="s">
        <v>2336</v>
      </c>
    </row>
    <row r="77" spans="1:9" x14ac:dyDescent="0.25">
      <c r="A77" t="s">
        <v>86</v>
      </c>
      <c r="B77" t="s">
        <v>1253</v>
      </c>
      <c r="C77" t="s">
        <v>10</v>
      </c>
      <c r="D77">
        <v>29990</v>
      </c>
      <c r="E77" s="9">
        <v>65000</v>
      </c>
      <c r="F77">
        <v>54</v>
      </c>
      <c r="G77">
        <v>4.0999999999999996</v>
      </c>
      <c r="H77" s="18">
        <v>211</v>
      </c>
      <c r="I77" t="s">
        <v>2339</v>
      </c>
    </row>
    <row r="78" spans="1:9" x14ac:dyDescent="0.25">
      <c r="A78" t="s">
        <v>87</v>
      </c>
      <c r="B78" t="s">
        <v>1254</v>
      </c>
      <c r="C78" t="s">
        <v>9</v>
      </c>
      <c r="D78">
        <v>339</v>
      </c>
      <c r="E78" s="9">
        <v>1099</v>
      </c>
      <c r="F78">
        <v>69</v>
      </c>
      <c r="G78">
        <v>4.3</v>
      </c>
      <c r="H78" s="18">
        <v>974</v>
      </c>
      <c r="I78" t="s">
        <v>2336</v>
      </c>
    </row>
    <row r="79" spans="1:9" x14ac:dyDescent="0.25">
      <c r="A79" t="s">
        <v>88</v>
      </c>
      <c r="B79" t="s">
        <v>1255</v>
      </c>
      <c r="C79" t="s">
        <v>10</v>
      </c>
      <c r="D79">
        <v>15490</v>
      </c>
      <c r="E79" s="9">
        <v>20900</v>
      </c>
      <c r="F79">
        <v>26</v>
      </c>
      <c r="G79">
        <v>4.3</v>
      </c>
      <c r="H79" s="18">
        <v>16299</v>
      </c>
      <c r="I79" t="s">
        <v>2339</v>
      </c>
    </row>
    <row r="80" spans="1:9" x14ac:dyDescent="0.25">
      <c r="A80" t="s">
        <v>89</v>
      </c>
      <c r="B80" t="s">
        <v>1256</v>
      </c>
      <c r="C80" t="s">
        <v>9</v>
      </c>
      <c r="D80">
        <v>499</v>
      </c>
      <c r="E80" s="9">
        <v>1299</v>
      </c>
      <c r="F80">
        <v>62</v>
      </c>
      <c r="G80">
        <v>4.3</v>
      </c>
      <c r="H80" s="18">
        <v>30411</v>
      </c>
      <c r="I80" t="s">
        <v>2336</v>
      </c>
    </row>
    <row r="81" spans="1:9" x14ac:dyDescent="0.25">
      <c r="A81" t="s">
        <v>90</v>
      </c>
      <c r="B81" t="s">
        <v>1257</v>
      </c>
      <c r="C81" t="s">
        <v>9</v>
      </c>
      <c r="D81">
        <v>249</v>
      </c>
      <c r="E81" s="9">
        <v>399</v>
      </c>
      <c r="F81">
        <v>38</v>
      </c>
      <c r="G81">
        <v>3.4</v>
      </c>
      <c r="H81" s="18">
        <v>4642</v>
      </c>
      <c r="I81" t="s">
        <v>2340</v>
      </c>
    </row>
    <row r="82" spans="1:9" x14ac:dyDescent="0.25">
      <c r="A82" t="s">
        <v>91</v>
      </c>
      <c r="B82" t="s">
        <v>1258</v>
      </c>
      <c r="C82" t="s">
        <v>10</v>
      </c>
      <c r="D82">
        <v>399</v>
      </c>
      <c r="E82" s="9">
        <v>799</v>
      </c>
      <c r="F82">
        <v>50</v>
      </c>
      <c r="G82">
        <v>4.3</v>
      </c>
      <c r="H82" s="18">
        <v>12</v>
      </c>
      <c r="I82" t="s">
        <v>2336</v>
      </c>
    </row>
    <row r="83" spans="1:9" x14ac:dyDescent="0.25">
      <c r="A83" t="s">
        <v>92</v>
      </c>
      <c r="B83" t="s">
        <v>1259</v>
      </c>
      <c r="C83" t="s">
        <v>10</v>
      </c>
      <c r="D83">
        <v>9490</v>
      </c>
      <c r="E83" s="9">
        <v>15990</v>
      </c>
      <c r="F83">
        <v>41</v>
      </c>
      <c r="G83">
        <v>3.9</v>
      </c>
      <c r="H83" s="18">
        <v>10480</v>
      </c>
      <c r="I83" t="s">
        <v>2339</v>
      </c>
    </row>
    <row r="84" spans="1:9" x14ac:dyDescent="0.25">
      <c r="A84" t="s">
        <v>93</v>
      </c>
      <c r="B84" t="s">
        <v>1260</v>
      </c>
      <c r="C84" t="s">
        <v>10</v>
      </c>
      <c r="D84">
        <v>637</v>
      </c>
      <c r="E84" s="9">
        <v>1499</v>
      </c>
      <c r="F84">
        <v>58</v>
      </c>
      <c r="G84">
        <v>4.0999999999999996</v>
      </c>
      <c r="H84" s="18">
        <v>24</v>
      </c>
      <c r="I84" t="s">
        <v>2336</v>
      </c>
    </row>
    <row r="85" spans="1:9" x14ac:dyDescent="0.25">
      <c r="A85" t="s">
        <v>94</v>
      </c>
      <c r="B85" t="s">
        <v>1261</v>
      </c>
      <c r="C85" t="s">
        <v>10</v>
      </c>
      <c r="D85">
        <v>399</v>
      </c>
      <c r="E85" s="9">
        <v>899</v>
      </c>
      <c r="F85">
        <v>56</v>
      </c>
      <c r="G85">
        <v>3.9</v>
      </c>
      <c r="H85" s="18">
        <v>254</v>
      </c>
      <c r="I85" t="s">
        <v>2336</v>
      </c>
    </row>
    <row r="86" spans="1:9" x14ac:dyDescent="0.25">
      <c r="A86" t="s">
        <v>95</v>
      </c>
      <c r="B86" t="s">
        <v>1262</v>
      </c>
      <c r="C86" t="s">
        <v>10</v>
      </c>
      <c r="D86">
        <v>1089</v>
      </c>
      <c r="E86" s="9">
        <v>1600</v>
      </c>
      <c r="F86">
        <v>32</v>
      </c>
      <c r="G86">
        <v>4</v>
      </c>
      <c r="H86" s="18">
        <v>3565</v>
      </c>
      <c r="I86" t="s">
        <v>2336</v>
      </c>
    </row>
    <row r="87" spans="1:9" x14ac:dyDescent="0.25">
      <c r="A87" t="s">
        <v>96</v>
      </c>
      <c r="B87" t="s">
        <v>1263</v>
      </c>
      <c r="C87" t="s">
        <v>9</v>
      </c>
      <c r="D87">
        <v>339</v>
      </c>
      <c r="E87" s="9">
        <v>999</v>
      </c>
      <c r="F87">
        <v>66</v>
      </c>
      <c r="G87">
        <v>4.3</v>
      </c>
      <c r="H87" s="18">
        <v>6255</v>
      </c>
      <c r="I87" t="s">
        <v>2336</v>
      </c>
    </row>
    <row r="88" spans="1:9" x14ac:dyDescent="0.25">
      <c r="A88" t="s">
        <v>97</v>
      </c>
      <c r="B88" t="s">
        <v>1264</v>
      </c>
      <c r="C88" t="s">
        <v>9</v>
      </c>
      <c r="D88">
        <v>149</v>
      </c>
      <c r="E88" s="9">
        <v>499</v>
      </c>
      <c r="F88">
        <v>70</v>
      </c>
      <c r="G88">
        <v>4</v>
      </c>
      <c r="H88" s="18">
        <v>7732</v>
      </c>
      <c r="I88" t="s">
        <v>2340</v>
      </c>
    </row>
    <row r="89" spans="1:9" x14ac:dyDescent="0.25">
      <c r="A89" t="s">
        <v>98</v>
      </c>
      <c r="B89" t="s">
        <v>1265</v>
      </c>
      <c r="C89" t="s">
        <v>9</v>
      </c>
      <c r="D89">
        <v>149</v>
      </c>
      <c r="E89" s="9">
        <v>399</v>
      </c>
      <c r="F89">
        <v>63</v>
      </c>
      <c r="G89">
        <v>3.9</v>
      </c>
      <c r="H89" s="18">
        <v>57</v>
      </c>
      <c r="I89" t="s">
        <v>2340</v>
      </c>
    </row>
    <row r="90" spans="1:9" x14ac:dyDescent="0.25">
      <c r="A90" t="s">
        <v>99</v>
      </c>
      <c r="B90" t="s">
        <v>1266</v>
      </c>
      <c r="C90" t="s">
        <v>10</v>
      </c>
      <c r="D90">
        <v>299</v>
      </c>
      <c r="E90" s="9">
        <v>1199</v>
      </c>
      <c r="F90">
        <v>75</v>
      </c>
      <c r="G90">
        <v>3.9</v>
      </c>
      <c r="H90" s="18">
        <v>1193</v>
      </c>
      <c r="I90" t="s">
        <v>2336</v>
      </c>
    </row>
    <row r="91" spans="1:9" x14ac:dyDescent="0.25">
      <c r="A91" t="s">
        <v>100</v>
      </c>
      <c r="B91" t="s">
        <v>1267</v>
      </c>
      <c r="C91" t="s">
        <v>9</v>
      </c>
      <c r="D91">
        <v>399</v>
      </c>
      <c r="E91" s="9">
        <v>1299</v>
      </c>
      <c r="F91">
        <v>69</v>
      </c>
      <c r="G91">
        <v>4.2</v>
      </c>
      <c r="H91" s="18">
        <v>13120</v>
      </c>
      <c r="I91" t="s">
        <v>2336</v>
      </c>
    </row>
    <row r="92" spans="1:9" x14ac:dyDescent="0.25">
      <c r="A92" t="s">
        <v>101</v>
      </c>
      <c r="B92" t="s">
        <v>1268</v>
      </c>
      <c r="C92" t="s">
        <v>9</v>
      </c>
      <c r="D92">
        <v>249</v>
      </c>
      <c r="E92" s="9">
        <v>399</v>
      </c>
      <c r="F92">
        <v>38</v>
      </c>
      <c r="G92">
        <v>4</v>
      </c>
      <c r="H92" s="18">
        <v>6558</v>
      </c>
      <c r="I92" t="s">
        <v>2340</v>
      </c>
    </row>
    <row r="93" spans="1:9" x14ac:dyDescent="0.25">
      <c r="A93" t="s">
        <v>102</v>
      </c>
      <c r="B93" t="s">
        <v>1269</v>
      </c>
      <c r="C93" t="s">
        <v>9</v>
      </c>
      <c r="D93">
        <v>1399</v>
      </c>
      <c r="E93" s="9">
        <v>2499</v>
      </c>
      <c r="F93">
        <v>44</v>
      </c>
      <c r="G93">
        <v>4.4000000000000004</v>
      </c>
      <c r="H93" s="18">
        <v>23169</v>
      </c>
      <c r="I93" t="s">
        <v>2339</v>
      </c>
    </row>
    <row r="94" spans="1:9" x14ac:dyDescent="0.25">
      <c r="A94" t="s">
        <v>103</v>
      </c>
      <c r="B94" t="s">
        <v>1270</v>
      </c>
      <c r="C94" t="s">
        <v>10</v>
      </c>
      <c r="D94">
        <v>32999</v>
      </c>
      <c r="E94" s="9">
        <v>47990</v>
      </c>
      <c r="F94">
        <v>31</v>
      </c>
      <c r="G94">
        <v>4.3</v>
      </c>
      <c r="H94" s="18">
        <v>4703</v>
      </c>
      <c r="I94" t="s">
        <v>2339</v>
      </c>
    </row>
    <row r="95" spans="1:9" x14ac:dyDescent="0.25">
      <c r="A95" t="s">
        <v>104</v>
      </c>
      <c r="B95" t="s">
        <v>1271</v>
      </c>
      <c r="C95" t="s">
        <v>9</v>
      </c>
      <c r="D95">
        <v>325</v>
      </c>
      <c r="E95" s="9">
        <v>999</v>
      </c>
      <c r="F95">
        <v>67</v>
      </c>
      <c r="G95">
        <v>4.3</v>
      </c>
      <c r="H95" s="18">
        <v>2651</v>
      </c>
      <c r="I95" t="s">
        <v>2336</v>
      </c>
    </row>
    <row r="96" spans="1:9" x14ac:dyDescent="0.25">
      <c r="A96" t="s">
        <v>105</v>
      </c>
      <c r="B96" t="s">
        <v>1272</v>
      </c>
      <c r="C96" t="s">
        <v>9</v>
      </c>
      <c r="D96">
        <v>399</v>
      </c>
      <c r="E96" s="9">
        <v>1999</v>
      </c>
      <c r="F96">
        <v>80</v>
      </c>
      <c r="G96">
        <v>5</v>
      </c>
      <c r="H96" s="18">
        <v>5</v>
      </c>
      <c r="I96" t="s">
        <v>2336</v>
      </c>
    </row>
    <row r="97" spans="1:9" x14ac:dyDescent="0.25">
      <c r="A97" t="s">
        <v>106</v>
      </c>
      <c r="B97" t="s">
        <v>1273</v>
      </c>
      <c r="C97" t="s">
        <v>9</v>
      </c>
      <c r="D97">
        <v>199</v>
      </c>
      <c r="E97" s="9">
        <v>499</v>
      </c>
      <c r="F97">
        <v>60</v>
      </c>
      <c r="G97">
        <v>3.7</v>
      </c>
      <c r="H97" s="18">
        <v>612</v>
      </c>
      <c r="I97" t="s">
        <v>2340</v>
      </c>
    </row>
    <row r="98" spans="1:9" x14ac:dyDescent="0.25">
      <c r="A98" t="s">
        <v>107</v>
      </c>
      <c r="B98" t="s">
        <v>1274</v>
      </c>
      <c r="C98" t="s">
        <v>9</v>
      </c>
      <c r="D98">
        <v>88</v>
      </c>
      <c r="E98" s="9">
        <v>299</v>
      </c>
      <c r="F98">
        <v>71</v>
      </c>
      <c r="G98">
        <v>4</v>
      </c>
      <c r="H98" s="18">
        <v>9378</v>
      </c>
      <c r="I98" t="s">
        <v>2340</v>
      </c>
    </row>
    <row r="99" spans="1:9" x14ac:dyDescent="0.25">
      <c r="A99" t="s">
        <v>108</v>
      </c>
      <c r="B99" t="s">
        <v>1275</v>
      </c>
      <c r="C99" t="s">
        <v>9</v>
      </c>
      <c r="D99">
        <v>399</v>
      </c>
      <c r="E99" s="9">
        <v>1099</v>
      </c>
      <c r="F99">
        <v>64</v>
      </c>
      <c r="G99">
        <v>4.0999999999999996</v>
      </c>
      <c r="H99" s="18">
        <v>2685</v>
      </c>
      <c r="I99" t="s">
        <v>2336</v>
      </c>
    </row>
    <row r="100" spans="1:9" x14ac:dyDescent="0.25">
      <c r="A100" t="s">
        <v>109</v>
      </c>
      <c r="B100" t="s">
        <v>1276</v>
      </c>
      <c r="C100" t="s">
        <v>9</v>
      </c>
      <c r="D100">
        <v>5789</v>
      </c>
      <c r="E100" s="9">
        <v>199</v>
      </c>
      <c r="F100">
        <v>71</v>
      </c>
      <c r="G100">
        <v>4</v>
      </c>
      <c r="H100" s="18">
        <v>9378</v>
      </c>
      <c r="I100" t="s">
        <v>2340</v>
      </c>
    </row>
    <row r="101" spans="1:9" x14ac:dyDescent="0.25">
      <c r="A101" t="s">
        <v>110</v>
      </c>
      <c r="B101" t="s">
        <v>1277</v>
      </c>
      <c r="C101" t="s">
        <v>10</v>
      </c>
      <c r="D101">
        <v>799</v>
      </c>
      <c r="E101" s="9">
        <v>1999</v>
      </c>
      <c r="F101">
        <v>60</v>
      </c>
      <c r="G101">
        <v>3.3</v>
      </c>
      <c r="H101" s="18">
        <v>576</v>
      </c>
      <c r="I101" t="s">
        <v>2336</v>
      </c>
    </row>
    <row r="102" spans="1:9" x14ac:dyDescent="0.25">
      <c r="A102" t="s">
        <v>111</v>
      </c>
      <c r="B102" t="s">
        <v>1278</v>
      </c>
      <c r="C102" t="s">
        <v>10</v>
      </c>
      <c r="D102">
        <v>205</v>
      </c>
      <c r="E102" s="9">
        <v>499</v>
      </c>
      <c r="F102">
        <v>59</v>
      </c>
      <c r="G102">
        <v>3.8</v>
      </c>
      <c r="H102" s="18">
        <v>313</v>
      </c>
      <c r="I102" t="s">
        <v>2340</v>
      </c>
    </row>
    <row r="103" spans="1:9" x14ac:dyDescent="0.25">
      <c r="A103" t="s">
        <v>112</v>
      </c>
      <c r="B103" t="s">
        <v>1279</v>
      </c>
      <c r="C103" t="s">
        <v>9</v>
      </c>
      <c r="D103">
        <v>299</v>
      </c>
      <c r="E103" s="9">
        <v>699</v>
      </c>
      <c r="F103">
        <v>57</v>
      </c>
      <c r="G103">
        <v>4.0999999999999996</v>
      </c>
      <c r="H103" s="18">
        <v>2957</v>
      </c>
      <c r="I103" t="s">
        <v>2336</v>
      </c>
    </row>
    <row r="104" spans="1:9" x14ac:dyDescent="0.25">
      <c r="A104" t="s">
        <v>113</v>
      </c>
      <c r="B104" t="s">
        <v>1280</v>
      </c>
      <c r="C104" t="s">
        <v>9</v>
      </c>
      <c r="D104">
        <v>849</v>
      </c>
      <c r="E104" s="9">
        <v>999</v>
      </c>
      <c r="F104">
        <v>15</v>
      </c>
      <c r="G104">
        <v>4.0999999999999996</v>
      </c>
      <c r="H104" s="18">
        <v>6736</v>
      </c>
      <c r="I104" t="s">
        <v>2336</v>
      </c>
    </row>
    <row r="105" spans="1:9" x14ac:dyDescent="0.25">
      <c r="A105" t="s">
        <v>114</v>
      </c>
      <c r="B105" t="s">
        <v>1281</v>
      </c>
      <c r="C105" t="s">
        <v>9</v>
      </c>
      <c r="D105">
        <v>949</v>
      </c>
      <c r="E105" s="9">
        <v>1999</v>
      </c>
      <c r="F105">
        <v>53</v>
      </c>
      <c r="G105">
        <v>4.4000000000000004</v>
      </c>
      <c r="H105" s="18">
        <v>13552</v>
      </c>
      <c r="I105" t="s">
        <v>2336</v>
      </c>
    </row>
    <row r="106" spans="1:9" x14ac:dyDescent="0.25">
      <c r="A106" t="s">
        <v>115</v>
      </c>
      <c r="B106" t="s">
        <v>1282</v>
      </c>
      <c r="C106" t="s">
        <v>9</v>
      </c>
      <c r="D106">
        <v>299</v>
      </c>
      <c r="E106" s="9">
        <v>485</v>
      </c>
      <c r="F106">
        <v>38</v>
      </c>
      <c r="G106">
        <v>4.3</v>
      </c>
      <c r="H106" s="18">
        <v>10911</v>
      </c>
      <c r="I106" t="s">
        <v>2340</v>
      </c>
    </row>
    <row r="107" spans="1:9" x14ac:dyDescent="0.25">
      <c r="A107" t="s">
        <v>116</v>
      </c>
      <c r="B107" t="s">
        <v>1283</v>
      </c>
      <c r="C107" t="s">
        <v>9</v>
      </c>
      <c r="D107">
        <v>379</v>
      </c>
      <c r="E107" s="9">
        <v>1099</v>
      </c>
      <c r="F107">
        <v>66</v>
      </c>
      <c r="G107">
        <v>4.3</v>
      </c>
      <c r="H107" s="18">
        <v>2806</v>
      </c>
      <c r="I107" t="s">
        <v>2336</v>
      </c>
    </row>
    <row r="108" spans="1:9" x14ac:dyDescent="0.25">
      <c r="A108" t="s">
        <v>117</v>
      </c>
      <c r="B108" t="s">
        <v>1284</v>
      </c>
      <c r="C108" t="s">
        <v>10</v>
      </c>
      <c r="D108">
        <v>8990</v>
      </c>
      <c r="E108" s="9">
        <v>18990</v>
      </c>
      <c r="F108">
        <v>53</v>
      </c>
      <c r="G108">
        <v>3.9</v>
      </c>
      <c r="H108" s="18">
        <v>350</v>
      </c>
      <c r="I108" t="s">
        <v>2339</v>
      </c>
    </row>
    <row r="109" spans="1:9" x14ac:dyDescent="0.25">
      <c r="A109" t="s">
        <v>118</v>
      </c>
      <c r="B109" t="s">
        <v>1285</v>
      </c>
      <c r="C109" t="s">
        <v>10</v>
      </c>
      <c r="D109">
        <v>5699</v>
      </c>
      <c r="E109" s="9">
        <v>11000</v>
      </c>
      <c r="F109">
        <v>48</v>
      </c>
      <c r="G109">
        <v>4.2</v>
      </c>
      <c r="H109" s="18">
        <v>4003</v>
      </c>
      <c r="I109" t="s">
        <v>2339</v>
      </c>
    </row>
    <row r="110" spans="1:9" x14ac:dyDescent="0.25">
      <c r="A110" t="s">
        <v>119</v>
      </c>
      <c r="B110" t="s">
        <v>1286</v>
      </c>
      <c r="C110" t="s">
        <v>9</v>
      </c>
      <c r="D110">
        <v>709</v>
      </c>
      <c r="E110" s="9">
        <v>1999</v>
      </c>
      <c r="F110">
        <v>65</v>
      </c>
      <c r="G110">
        <v>4.0999999999999996</v>
      </c>
      <c r="H110" s="18">
        <v>178817</v>
      </c>
      <c r="I110" t="s">
        <v>2336</v>
      </c>
    </row>
    <row r="111" spans="1:9" x14ac:dyDescent="0.25">
      <c r="A111" t="s">
        <v>120</v>
      </c>
      <c r="B111" t="s">
        <v>1287</v>
      </c>
      <c r="C111" t="s">
        <v>10</v>
      </c>
      <c r="D111">
        <v>299</v>
      </c>
      <c r="E111" s="9">
        <v>1199</v>
      </c>
      <c r="F111">
        <v>75</v>
      </c>
      <c r="G111">
        <v>3.7</v>
      </c>
      <c r="H111" s="18">
        <v>490</v>
      </c>
      <c r="I111" t="s">
        <v>2336</v>
      </c>
    </row>
    <row r="112" spans="1:9" x14ac:dyDescent="0.25">
      <c r="A112" t="s">
        <v>121</v>
      </c>
      <c r="B112" t="s">
        <v>1288</v>
      </c>
      <c r="C112" t="s">
        <v>9</v>
      </c>
      <c r="D112">
        <v>320</v>
      </c>
      <c r="E112" s="9">
        <v>599</v>
      </c>
      <c r="F112">
        <v>47</v>
      </c>
      <c r="G112">
        <v>4.0999999999999996</v>
      </c>
      <c r="H112" s="18">
        <v>491</v>
      </c>
      <c r="I112" t="s">
        <v>2336</v>
      </c>
    </row>
    <row r="113" spans="1:9" x14ac:dyDescent="0.25">
      <c r="A113" t="s">
        <v>122</v>
      </c>
      <c r="B113" t="s">
        <v>1289</v>
      </c>
      <c r="C113" t="s">
        <v>9</v>
      </c>
      <c r="D113">
        <v>139</v>
      </c>
      <c r="E113" s="9">
        <v>549</v>
      </c>
      <c r="F113">
        <v>75</v>
      </c>
      <c r="G113">
        <v>3.9</v>
      </c>
      <c r="H113" s="18">
        <v>61</v>
      </c>
      <c r="I113" t="s">
        <v>2336</v>
      </c>
    </row>
    <row r="114" spans="1:9" x14ac:dyDescent="0.25">
      <c r="A114" t="s">
        <v>123</v>
      </c>
      <c r="B114" t="s">
        <v>1290</v>
      </c>
      <c r="C114" t="s">
        <v>9</v>
      </c>
      <c r="D114">
        <v>129</v>
      </c>
      <c r="E114" s="9">
        <v>249</v>
      </c>
      <c r="F114">
        <v>48</v>
      </c>
      <c r="G114">
        <v>4</v>
      </c>
      <c r="H114" s="18">
        <v>9378</v>
      </c>
      <c r="I114" t="s">
        <v>2340</v>
      </c>
    </row>
    <row r="115" spans="1:9" x14ac:dyDescent="0.25">
      <c r="A115" t="s">
        <v>124</v>
      </c>
      <c r="B115" t="s">
        <v>1291</v>
      </c>
      <c r="C115" t="s">
        <v>9</v>
      </c>
      <c r="D115">
        <v>999</v>
      </c>
      <c r="E115" s="9">
        <v>1699</v>
      </c>
      <c r="F115">
        <v>41</v>
      </c>
      <c r="G115">
        <v>4.4000000000000004</v>
      </c>
      <c r="H115" s="18">
        <v>7318</v>
      </c>
      <c r="I115" t="s">
        <v>2336</v>
      </c>
    </row>
    <row r="116" spans="1:9" x14ac:dyDescent="0.25">
      <c r="A116" t="s">
        <v>125</v>
      </c>
      <c r="B116" t="s">
        <v>1292</v>
      </c>
      <c r="C116" t="s">
        <v>9</v>
      </c>
      <c r="D116">
        <v>225</v>
      </c>
      <c r="E116" s="9">
        <v>499</v>
      </c>
      <c r="F116">
        <v>55</v>
      </c>
      <c r="G116">
        <v>4.0999999999999996</v>
      </c>
      <c r="H116" s="18">
        <v>789</v>
      </c>
      <c r="I116" t="s">
        <v>2340</v>
      </c>
    </row>
    <row r="117" spans="1:9" x14ac:dyDescent="0.25">
      <c r="A117" t="s">
        <v>126</v>
      </c>
      <c r="B117" t="s">
        <v>1293</v>
      </c>
      <c r="C117" t="s">
        <v>10</v>
      </c>
      <c r="D117">
        <v>547</v>
      </c>
      <c r="E117" s="9">
        <v>2999</v>
      </c>
      <c r="F117">
        <v>82</v>
      </c>
      <c r="G117">
        <v>4.3</v>
      </c>
      <c r="H117" s="18">
        <v>407</v>
      </c>
      <c r="I117" t="s">
        <v>2339</v>
      </c>
    </row>
    <row r="118" spans="1:9" x14ac:dyDescent="0.25">
      <c r="A118" t="s">
        <v>127</v>
      </c>
      <c r="B118" t="s">
        <v>1294</v>
      </c>
      <c r="C118" t="s">
        <v>9</v>
      </c>
      <c r="D118">
        <v>259</v>
      </c>
      <c r="E118" s="9">
        <v>699</v>
      </c>
      <c r="F118">
        <v>63</v>
      </c>
      <c r="G118">
        <v>3.8</v>
      </c>
      <c r="H118" s="18">
        <v>2399</v>
      </c>
      <c r="I118" t="s">
        <v>2336</v>
      </c>
    </row>
    <row r="119" spans="1:9" x14ac:dyDescent="0.25">
      <c r="A119" t="s">
        <v>128</v>
      </c>
      <c r="B119" t="s">
        <v>1295</v>
      </c>
      <c r="C119" t="s">
        <v>10</v>
      </c>
      <c r="D119">
        <v>239</v>
      </c>
      <c r="E119" s="9">
        <v>699</v>
      </c>
      <c r="F119">
        <v>66</v>
      </c>
      <c r="G119">
        <v>4.4000000000000004</v>
      </c>
      <c r="H119" s="18">
        <v>2640</v>
      </c>
      <c r="I119" t="s">
        <v>2336</v>
      </c>
    </row>
    <row r="120" spans="1:9" x14ac:dyDescent="0.25">
      <c r="A120" t="s">
        <v>129</v>
      </c>
      <c r="B120" t="s">
        <v>1296</v>
      </c>
      <c r="C120" t="s">
        <v>10</v>
      </c>
      <c r="D120">
        <v>349</v>
      </c>
      <c r="E120" s="9">
        <v>999</v>
      </c>
      <c r="F120">
        <v>65</v>
      </c>
      <c r="G120">
        <v>4</v>
      </c>
      <c r="H120" s="18">
        <v>839</v>
      </c>
      <c r="I120" t="s">
        <v>2336</v>
      </c>
    </row>
    <row r="121" spans="1:9" x14ac:dyDescent="0.25">
      <c r="A121" t="s">
        <v>130</v>
      </c>
      <c r="B121" t="s">
        <v>1297</v>
      </c>
      <c r="C121" t="s">
        <v>10</v>
      </c>
      <c r="D121">
        <v>467</v>
      </c>
      <c r="E121" s="9">
        <v>599</v>
      </c>
      <c r="F121">
        <v>22</v>
      </c>
      <c r="G121">
        <v>4.4000000000000004</v>
      </c>
      <c r="H121" s="18">
        <v>44054</v>
      </c>
      <c r="I121" t="s">
        <v>2336</v>
      </c>
    </row>
    <row r="122" spans="1:9" x14ac:dyDescent="0.25">
      <c r="A122" t="s">
        <v>131</v>
      </c>
      <c r="B122" t="s">
        <v>1298</v>
      </c>
      <c r="C122" t="s">
        <v>9</v>
      </c>
      <c r="D122">
        <v>449</v>
      </c>
      <c r="E122" s="9">
        <v>599</v>
      </c>
      <c r="F122">
        <v>25</v>
      </c>
      <c r="G122">
        <v>4</v>
      </c>
      <c r="H122" s="18">
        <v>3231</v>
      </c>
      <c r="I122" t="s">
        <v>2336</v>
      </c>
    </row>
    <row r="123" spans="1:9" x14ac:dyDescent="0.25">
      <c r="A123" t="s">
        <v>132</v>
      </c>
      <c r="B123" t="s">
        <v>1299</v>
      </c>
      <c r="C123" t="s">
        <v>10</v>
      </c>
      <c r="D123">
        <v>11990</v>
      </c>
      <c r="E123" s="9">
        <v>31990</v>
      </c>
      <c r="F123">
        <v>63</v>
      </c>
      <c r="G123">
        <v>4.2</v>
      </c>
      <c r="H123" s="18">
        <v>64</v>
      </c>
      <c r="I123" t="s">
        <v>2339</v>
      </c>
    </row>
    <row r="124" spans="1:9" x14ac:dyDescent="0.25">
      <c r="A124" t="s">
        <v>133</v>
      </c>
      <c r="B124" t="s">
        <v>1300</v>
      </c>
      <c r="C124" t="s">
        <v>9</v>
      </c>
      <c r="D124">
        <v>350</v>
      </c>
      <c r="E124" s="9">
        <v>599</v>
      </c>
      <c r="F124">
        <v>42</v>
      </c>
      <c r="G124">
        <v>3.9</v>
      </c>
      <c r="H124" s="18">
        <v>8314</v>
      </c>
      <c r="I124" t="s">
        <v>2336</v>
      </c>
    </row>
    <row r="125" spans="1:9" x14ac:dyDescent="0.25">
      <c r="A125" t="s">
        <v>134</v>
      </c>
      <c r="B125" t="s">
        <v>1301</v>
      </c>
      <c r="C125" t="s">
        <v>9</v>
      </c>
      <c r="D125">
        <v>252</v>
      </c>
      <c r="E125" s="9">
        <v>999</v>
      </c>
      <c r="F125">
        <v>75</v>
      </c>
      <c r="G125">
        <v>3.7</v>
      </c>
      <c r="H125" s="18">
        <v>2249</v>
      </c>
      <c r="I125" t="s">
        <v>2336</v>
      </c>
    </row>
    <row r="126" spans="1:9" x14ac:dyDescent="0.25">
      <c r="A126" t="s">
        <v>135</v>
      </c>
      <c r="B126" t="s">
        <v>1302</v>
      </c>
      <c r="C126" t="s">
        <v>10</v>
      </c>
      <c r="D126">
        <v>204</v>
      </c>
      <c r="E126" s="9">
        <v>599</v>
      </c>
      <c r="F126">
        <v>66</v>
      </c>
      <c r="G126">
        <v>3.6</v>
      </c>
      <c r="H126" s="18">
        <v>339</v>
      </c>
      <c r="I126" t="s">
        <v>2336</v>
      </c>
    </row>
    <row r="127" spans="1:9" x14ac:dyDescent="0.25">
      <c r="A127" t="s">
        <v>136</v>
      </c>
      <c r="B127" t="s">
        <v>1303</v>
      </c>
      <c r="C127" t="s">
        <v>10</v>
      </c>
      <c r="D127">
        <v>6490</v>
      </c>
      <c r="E127" s="9">
        <v>9990</v>
      </c>
      <c r="F127">
        <v>35</v>
      </c>
      <c r="G127">
        <v>4</v>
      </c>
      <c r="H127" s="18">
        <v>27</v>
      </c>
      <c r="I127" t="s">
        <v>2339</v>
      </c>
    </row>
    <row r="128" spans="1:9" x14ac:dyDescent="0.25">
      <c r="A128" t="s">
        <v>137</v>
      </c>
      <c r="B128" t="s">
        <v>1304</v>
      </c>
      <c r="C128" t="s">
        <v>10</v>
      </c>
      <c r="D128">
        <v>235</v>
      </c>
      <c r="E128" s="9">
        <v>599</v>
      </c>
      <c r="F128">
        <v>61</v>
      </c>
      <c r="G128">
        <v>3.5</v>
      </c>
      <c r="H128" s="18">
        <v>197</v>
      </c>
      <c r="I128" t="s">
        <v>2336</v>
      </c>
    </row>
    <row r="129" spans="1:9" x14ac:dyDescent="0.25">
      <c r="A129" t="s">
        <v>138</v>
      </c>
      <c r="B129" t="s">
        <v>1305</v>
      </c>
      <c r="C129" t="s">
        <v>9</v>
      </c>
      <c r="D129">
        <v>299</v>
      </c>
      <c r="E129" s="9">
        <v>800</v>
      </c>
      <c r="F129">
        <v>63</v>
      </c>
      <c r="G129">
        <v>4.5</v>
      </c>
      <c r="H129" s="18">
        <v>74977</v>
      </c>
      <c r="I129" t="s">
        <v>2336</v>
      </c>
    </row>
    <row r="130" spans="1:9" x14ac:dyDescent="0.25">
      <c r="A130" t="s">
        <v>139</v>
      </c>
      <c r="B130" t="s">
        <v>1306</v>
      </c>
      <c r="C130" t="s">
        <v>9</v>
      </c>
      <c r="D130">
        <v>799</v>
      </c>
      <c r="E130" s="9">
        <v>1999</v>
      </c>
      <c r="F130">
        <v>60</v>
      </c>
      <c r="G130">
        <v>4.2</v>
      </c>
      <c r="H130" s="18">
        <v>8583</v>
      </c>
      <c r="I130" t="s">
        <v>2336</v>
      </c>
    </row>
    <row r="131" spans="1:9" x14ac:dyDescent="0.25">
      <c r="A131" t="s">
        <v>140</v>
      </c>
      <c r="B131" t="s">
        <v>1307</v>
      </c>
      <c r="C131" t="s">
        <v>10</v>
      </c>
      <c r="D131">
        <v>299</v>
      </c>
      <c r="E131" s="9">
        <v>999</v>
      </c>
      <c r="F131">
        <v>70</v>
      </c>
      <c r="G131">
        <v>3.8</v>
      </c>
      <c r="H131" s="18">
        <v>928</v>
      </c>
      <c r="I131" t="s">
        <v>2336</v>
      </c>
    </row>
    <row r="132" spans="1:9" x14ac:dyDescent="0.25">
      <c r="A132" t="s">
        <v>141</v>
      </c>
      <c r="B132" t="s">
        <v>1308</v>
      </c>
      <c r="C132" t="s">
        <v>10</v>
      </c>
      <c r="D132">
        <v>42999</v>
      </c>
      <c r="E132" s="9">
        <v>59999</v>
      </c>
      <c r="F132">
        <v>28</v>
      </c>
      <c r="G132">
        <v>4.0999999999999996</v>
      </c>
      <c r="H132" s="18">
        <v>6753</v>
      </c>
      <c r="I132" t="s">
        <v>2339</v>
      </c>
    </row>
    <row r="133" spans="1:9" x14ac:dyDescent="0.25">
      <c r="A133" t="s">
        <v>142</v>
      </c>
      <c r="B133" t="s">
        <v>1309</v>
      </c>
      <c r="C133" t="s">
        <v>10</v>
      </c>
      <c r="D133">
        <v>173</v>
      </c>
      <c r="E133" s="9">
        <v>999</v>
      </c>
      <c r="F133">
        <v>83</v>
      </c>
      <c r="G133">
        <v>4.3</v>
      </c>
      <c r="H133" s="18">
        <v>1237</v>
      </c>
      <c r="I133" t="s">
        <v>2336</v>
      </c>
    </row>
    <row r="134" spans="1:9" x14ac:dyDescent="0.25">
      <c r="A134" t="s">
        <v>143</v>
      </c>
      <c r="B134" t="s">
        <v>144</v>
      </c>
      <c r="C134" t="s">
        <v>10</v>
      </c>
      <c r="D134">
        <v>209</v>
      </c>
      <c r="E134" s="9">
        <v>600</v>
      </c>
      <c r="F134">
        <v>65</v>
      </c>
      <c r="G134">
        <v>4.4000000000000004</v>
      </c>
      <c r="H134" s="18">
        <v>18872</v>
      </c>
      <c r="I134" t="s">
        <v>2336</v>
      </c>
    </row>
    <row r="135" spans="1:9" x14ac:dyDescent="0.25">
      <c r="A135" t="s">
        <v>145</v>
      </c>
      <c r="B135" t="s">
        <v>1310</v>
      </c>
      <c r="C135" t="s">
        <v>9</v>
      </c>
      <c r="D135">
        <v>84899</v>
      </c>
      <c r="E135" s="9">
        <v>1490</v>
      </c>
      <c r="F135">
        <v>43</v>
      </c>
      <c r="G135">
        <v>3.9</v>
      </c>
      <c r="H135" s="18">
        <v>356</v>
      </c>
      <c r="I135" t="s">
        <v>2336</v>
      </c>
    </row>
    <row r="136" spans="1:9" x14ac:dyDescent="0.25">
      <c r="A136" t="s">
        <v>146</v>
      </c>
      <c r="B136" t="s">
        <v>1311</v>
      </c>
      <c r="C136" t="s">
        <v>9</v>
      </c>
      <c r="D136">
        <v>649</v>
      </c>
      <c r="E136" s="9">
        <v>1999</v>
      </c>
      <c r="F136">
        <v>68</v>
      </c>
      <c r="G136">
        <v>4.2</v>
      </c>
      <c r="H136" s="18">
        <v>24269</v>
      </c>
      <c r="I136" t="s">
        <v>2336</v>
      </c>
    </row>
    <row r="137" spans="1:9" x14ac:dyDescent="0.25">
      <c r="A137" t="s">
        <v>147</v>
      </c>
      <c r="B137" t="s">
        <v>1312</v>
      </c>
      <c r="C137" t="s">
        <v>10</v>
      </c>
      <c r="D137">
        <v>299</v>
      </c>
      <c r="E137" s="9">
        <v>899</v>
      </c>
      <c r="F137">
        <v>67</v>
      </c>
      <c r="G137">
        <v>3.8</v>
      </c>
      <c r="H137" s="18">
        <v>425</v>
      </c>
      <c r="I137" t="s">
        <v>2336</v>
      </c>
    </row>
    <row r="138" spans="1:9" x14ac:dyDescent="0.25">
      <c r="A138" t="s">
        <v>148</v>
      </c>
      <c r="B138" t="s">
        <v>1313</v>
      </c>
      <c r="C138" t="s">
        <v>9</v>
      </c>
      <c r="D138">
        <v>249</v>
      </c>
      <c r="E138" s="9">
        <v>499</v>
      </c>
      <c r="F138">
        <v>50</v>
      </c>
      <c r="G138">
        <v>4.0999999999999996</v>
      </c>
      <c r="H138" s="18">
        <v>1508</v>
      </c>
      <c r="I138" t="s">
        <v>2340</v>
      </c>
    </row>
    <row r="139" spans="1:9" x14ac:dyDescent="0.25">
      <c r="A139" t="s">
        <v>149</v>
      </c>
      <c r="B139" t="s">
        <v>1314</v>
      </c>
      <c r="C139" t="s">
        <v>10</v>
      </c>
      <c r="D139">
        <v>1249</v>
      </c>
      <c r="E139" s="9">
        <v>2299</v>
      </c>
      <c r="F139">
        <v>46</v>
      </c>
      <c r="G139">
        <v>4.3</v>
      </c>
      <c r="H139" s="18">
        <v>7636</v>
      </c>
      <c r="I139" t="s">
        <v>2339</v>
      </c>
    </row>
    <row r="140" spans="1:9" x14ac:dyDescent="0.25">
      <c r="A140" t="s">
        <v>150</v>
      </c>
      <c r="B140" t="s">
        <v>1315</v>
      </c>
      <c r="C140" t="s">
        <v>10</v>
      </c>
      <c r="D140">
        <v>213</v>
      </c>
      <c r="E140" s="9">
        <v>499</v>
      </c>
      <c r="F140">
        <v>57</v>
      </c>
      <c r="G140">
        <v>3.7</v>
      </c>
      <c r="H140" s="18">
        <v>246</v>
      </c>
      <c r="I140" t="s">
        <v>2340</v>
      </c>
    </row>
    <row r="141" spans="1:9" x14ac:dyDescent="0.25">
      <c r="A141" t="s">
        <v>151</v>
      </c>
      <c r="B141" t="s">
        <v>1316</v>
      </c>
      <c r="C141" t="s">
        <v>10</v>
      </c>
      <c r="D141">
        <v>209</v>
      </c>
      <c r="E141" s="9">
        <v>499</v>
      </c>
      <c r="F141">
        <v>58</v>
      </c>
      <c r="G141">
        <v>4</v>
      </c>
      <c r="H141" s="18">
        <v>479</v>
      </c>
      <c r="I141" t="s">
        <v>2340</v>
      </c>
    </row>
    <row r="142" spans="1:9" x14ac:dyDescent="0.25">
      <c r="A142" t="s">
        <v>152</v>
      </c>
      <c r="B142" t="s">
        <v>1317</v>
      </c>
      <c r="C142" t="s">
        <v>10</v>
      </c>
      <c r="D142">
        <v>598</v>
      </c>
      <c r="E142" s="9">
        <v>4999</v>
      </c>
      <c r="F142">
        <v>88</v>
      </c>
      <c r="G142">
        <v>4.2</v>
      </c>
      <c r="H142" s="18">
        <v>910</v>
      </c>
      <c r="I142" t="s">
        <v>2339</v>
      </c>
    </row>
    <row r="143" spans="1:9" x14ac:dyDescent="0.25">
      <c r="A143" t="s">
        <v>153</v>
      </c>
      <c r="B143" t="s">
        <v>1318</v>
      </c>
      <c r="C143" t="s">
        <v>9</v>
      </c>
      <c r="D143">
        <v>159</v>
      </c>
      <c r="E143" s="9">
        <v>595</v>
      </c>
      <c r="F143">
        <v>73</v>
      </c>
      <c r="G143">
        <v>4.3</v>
      </c>
      <c r="H143" s="18">
        <v>14184</v>
      </c>
      <c r="I143" t="s">
        <v>2336</v>
      </c>
    </row>
    <row r="144" spans="1:9" x14ac:dyDescent="0.25">
      <c r="A144" t="s">
        <v>154</v>
      </c>
      <c r="B144" t="s">
        <v>1319</v>
      </c>
      <c r="C144" t="s">
        <v>9</v>
      </c>
      <c r="D144">
        <v>499</v>
      </c>
      <c r="E144" s="9">
        <v>1100</v>
      </c>
      <c r="F144">
        <v>55</v>
      </c>
      <c r="G144">
        <v>4.4000000000000004</v>
      </c>
      <c r="H144" s="18">
        <v>25177</v>
      </c>
      <c r="I144" t="s">
        <v>2336</v>
      </c>
    </row>
    <row r="145" spans="1:9" x14ac:dyDescent="0.25">
      <c r="A145" t="s">
        <v>155</v>
      </c>
      <c r="B145" t="s">
        <v>1320</v>
      </c>
      <c r="C145" t="s">
        <v>10</v>
      </c>
      <c r="D145">
        <v>32990</v>
      </c>
      <c r="E145" s="9">
        <v>56790</v>
      </c>
      <c r="F145">
        <v>42</v>
      </c>
      <c r="G145">
        <v>4.3</v>
      </c>
      <c r="H145" s="18">
        <v>567</v>
      </c>
      <c r="I145" t="s">
        <v>2339</v>
      </c>
    </row>
    <row r="146" spans="1:9" x14ac:dyDescent="0.25">
      <c r="A146" t="s">
        <v>156</v>
      </c>
      <c r="B146" t="s">
        <v>1321</v>
      </c>
      <c r="C146" t="s">
        <v>10</v>
      </c>
      <c r="D146">
        <v>299</v>
      </c>
      <c r="E146" s="9">
        <v>1199</v>
      </c>
      <c r="F146">
        <v>75</v>
      </c>
      <c r="G146">
        <v>3.5</v>
      </c>
      <c r="H146" s="18">
        <v>466</v>
      </c>
      <c r="I146" t="s">
        <v>2336</v>
      </c>
    </row>
    <row r="147" spans="1:9" x14ac:dyDescent="0.25">
      <c r="A147" t="s">
        <v>157</v>
      </c>
      <c r="B147" t="s">
        <v>1322</v>
      </c>
      <c r="C147" t="s">
        <v>9</v>
      </c>
      <c r="D147">
        <v>599</v>
      </c>
      <c r="E147" s="9">
        <v>849</v>
      </c>
      <c r="F147">
        <v>29</v>
      </c>
      <c r="G147">
        <v>4.5</v>
      </c>
      <c r="H147" s="18">
        <v>474</v>
      </c>
      <c r="I147" t="s">
        <v>2336</v>
      </c>
    </row>
    <row r="148" spans="1:9" x14ac:dyDescent="0.25">
      <c r="A148" t="s">
        <v>158</v>
      </c>
      <c r="B148" t="s">
        <v>1323</v>
      </c>
      <c r="C148" t="s">
        <v>10</v>
      </c>
      <c r="D148">
        <v>399</v>
      </c>
      <c r="E148" s="9">
        <v>899</v>
      </c>
      <c r="F148">
        <v>56</v>
      </c>
      <c r="G148">
        <v>3.4</v>
      </c>
      <c r="H148" s="18">
        <v>431</v>
      </c>
      <c r="I148" t="s">
        <v>2336</v>
      </c>
    </row>
    <row r="149" spans="1:9" x14ac:dyDescent="0.25">
      <c r="A149" t="s">
        <v>159</v>
      </c>
      <c r="B149" t="s">
        <v>1324</v>
      </c>
      <c r="C149" t="s">
        <v>9</v>
      </c>
      <c r="D149">
        <v>449</v>
      </c>
      <c r="E149" s="9">
        <v>1099</v>
      </c>
      <c r="F149">
        <v>59</v>
      </c>
      <c r="G149">
        <v>4</v>
      </c>
      <c r="H149" s="18">
        <v>242</v>
      </c>
      <c r="I149" t="s">
        <v>2336</v>
      </c>
    </row>
    <row r="150" spans="1:9" x14ac:dyDescent="0.25">
      <c r="A150" t="s">
        <v>160</v>
      </c>
      <c r="B150" t="s">
        <v>1325</v>
      </c>
      <c r="C150" t="s">
        <v>9</v>
      </c>
      <c r="D150">
        <v>254</v>
      </c>
      <c r="E150" s="9">
        <v>799</v>
      </c>
      <c r="F150">
        <v>68</v>
      </c>
      <c r="G150">
        <v>4</v>
      </c>
      <c r="H150" s="18">
        <v>2905</v>
      </c>
      <c r="I150" t="s">
        <v>2336</v>
      </c>
    </row>
    <row r="151" spans="1:9" x14ac:dyDescent="0.25">
      <c r="A151" t="s">
        <v>161</v>
      </c>
      <c r="B151" t="s">
        <v>1326</v>
      </c>
      <c r="C151" t="s">
        <v>10</v>
      </c>
      <c r="D151">
        <v>399</v>
      </c>
      <c r="E151" s="9">
        <v>795</v>
      </c>
      <c r="F151">
        <v>50</v>
      </c>
      <c r="G151">
        <v>4.4000000000000004</v>
      </c>
      <c r="H151" s="18">
        <v>12091</v>
      </c>
      <c r="I151" t="s">
        <v>2336</v>
      </c>
    </row>
    <row r="152" spans="1:9" x14ac:dyDescent="0.25">
      <c r="A152" t="s">
        <v>162</v>
      </c>
      <c r="B152" t="s">
        <v>1327</v>
      </c>
      <c r="C152" t="s">
        <v>9</v>
      </c>
      <c r="D152">
        <v>179</v>
      </c>
      <c r="E152" s="9">
        <v>399</v>
      </c>
      <c r="F152">
        <v>55</v>
      </c>
      <c r="G152">
        <v>4</v>
      </c>
      <c r="H152" s="18">
        <v>1423</v>
      </c>
      <c r="I152" t="s">
        <v>2340</v>
      </c>
    </row>
    <row r="153" spans="1:9" x14ac:dyDescent="0.25">
      <c r="A153" t="s">
        <v>163</v>
      </c>
      <c r="B153" t="s">
        <v>1328</v>
      </c>
      <c r="C153" t="s">
        <v>9</v>
      </c>
      <c r="D153">
        <v>339</v>
      </c>
      <c r="E153" s="9">
        <v>999</v>
      </c>
      <c r="F153">
        <v>66</v>
      </c>
      <c r="G153">
        <v>4.3</v>
      </c>
      <c r="H153" s="18">
        <v>6255</v>
      </c>
      <c r="I153" t="s">
        <v>2336</v>
      </c>
    </row>
    <row r="154" spans="1:9" x14ac:dyDescent="0.25">
      <c r="A154" t="s">
        <v>164</v>
      </c>
      <c r="B154" t="s">
        <v>1329</v>
      </c>
      <c r="C154" t="s">
        <v>10</v>
      </c>
      <c r="D154">
        <v>399</v>
      </c>
      <c r="E154" s="9">
        <v>999</v>
      </c>
      <c r="F154">
        <v>60</v>
      </c>
      <c r="G154">
        <v>4</v>
      </c>
      <c r="H154" s="18">
        <v>1236</v>
      </c>
      <c r="I154" t="s">
        <v>2336</v>
      </c>
    </row>
    <row r="155" spans="1:9" x14ac:dyDescent="0.25">
      <c r="A155" t="s">
        <v>165</v>
      </c>
      <c r="B155" t="s">
        <v>1330</v>
      </c>
      <c r="C155" t="s">
        <v>10</v>
      </c>
      <c r="D155">
        <v>349</v>
      </c>
      <c r="E155" s="9">
        <v>1999</v>
      </c>
      <c r="F155">
        <v>83</v>
      </c>
      <c r="G155">
        <v>3.8</v>
      </c>
      <c r="H155" s="18">
        <v>197</v>
      </c>
      <c r="I155" t="s">
        <v>2336</v>
      </c>
    </row>
    <row r="156" spans="1:9" x14ac:dyDescent="0.25">
      <c r="A156" t="s">
        <v>166</v>
      </c>
      <c r="B156" t="s">
        <v>1331</v>
      </c>
      <c r="C156" t="s">
        <v>9</v>
      </c>
      <c r="D156">
        <v>299</v>
      </c>
      <c r="E156" s="9">
        <v>798</v>
      </c>
      <c r="F156">
        <v>63</v>
      </c>
      <c r="G156">
        <v>4.4000000000000004</v>
      </c>
      <c r="H156" s="18">
        <v>28791</v>
      </c>
      <c r="I156" t="s">
        <v>2336</v>
      </c>
    </row>
    <row r="157" spans="1:9" x14ac:dyDescent="0.25">
      <c r="A157" t="s">
        <v>167</v>
      </c>
      <c r="B157" t="s">
        <v>1332</v>
      </c>
      <c r="C157" t="s">
        <v>9</v>
      </c>
      <c r="D157">
        <v>89</v>
      </c>
      <c r="E157" s="9">
        <v>800</v>
      </c>
      <c r="F157">
        <v>89</v>
      </c>
      <c r="G157">
        <v>3.9</v>
      </c>
      <c r="H157" s="18">
        <v>1075</v>
      </c>
      <c r="I157" t="s">
        <v>2336</v>
      </c>
    </row>
    <row r="158" spans="1:9" x14ac:dyDescent="0.25">
      <c r="A158" t="s">
        <v>168</v>
      </c>
      <c r="B158" t="s">
        <v>1333</v>
      </c>
      <c r="C158" t="s">
        <v>9</v>
      </c>
      <c r="D158">
        <v>549</v>
      </c>
      <c r="E158" s="9">
        <v>995</v>
      </c>
      <c r="F158">
        <v>45</v>
      </c>
      <c r="G158">
        <v>4.2</v>
      </c>
      <c r="H158" s="18">
        <v>29746</v>
      </c>
      <c r="I158" t="s">
        <v>2336</v>
      </c>
    </row>
    <row r="159" spans="1:9" x14ac:dyDescent="0.25">
      <c r="A159" t="s">
        <v>169</v>
      </c>
      <c r="B159" t="s">
        <v>1334</v>
      </c>
      <c r="C159" t="s">
        <v>9</v>
      </c>
      <c r="D159">
        <v>129</v>
      </c>
      <c r="E159" s="9">
        <v>1000</v>
      </c>
      <c r="F159">
        <v>87</v>
      </c>
      <c r="G159">
        <v>3.9</v>
      </c>
      <c r="H159" s="18">
        <v>295</v>
      </c>
      <c r="I159" t="s">
        <v>2336</v>
      </c>
    </row>
    <row r="160" spans="1:9" x14ac:dyDescent="0.25">
      <c r="A160" t="s">
        <v>170</v>
      </c>
      <c r="B160" t="s">
        <v>1335</v>
      </c>
      <c r="C160" t="s">
        <v>10</v>
      </c>
      <c r="D160">
        <v>77990</v>
      </c>
      <c r="E160" s="9">
        <v>139900</v>
      </c>
      <c r="F160">
        <v>44</v>
      </c>
      <c r="G160">
        <v>4.7</v>
      </c>
      <c r="H160" s="18">
        <v>5935</v>
      </c>
      <c r="I160" t="s">
        <v>2339</v>
      </c>
    </row>
    <row r="161" spans="1:9" x14ac:dyDescent="0.25">
      <c r="A161" t="s">
        <v>171</v>
      </c>
      <c r="B161" t="s">
        <v>1336</v>
      </c>
      <c r="C161" t="s">
        <v>10</v>
      </c>
      <c r="D161">
        <v>349</v>
      </c>
      <c r="E161" s="9">
        <v>799</v>
      </c>
      <c r="F161">
        <v>56</v>
      </c>
      <c r="G161">
        <v>3.6</v>
      </c>
      <c r="H161" s="18">
        <v>323</v>
      </c>
      <c r="I161" t="s">
        <v>2336</v>
      </c>
    </row>
    <row r="162" spans="1:9" x14ac:dyDescent="0.25">
      <c r="A162" t="s">
        <v>172</v>
      </c>
      <c r="B162" t="s">
        <v>1337</v>
      </c>
      <c r="C162" t="s">
        <v>10</v>
      </c>
      <c r="D162">
        <v>499</v>
      </c>
      <c r="E162" s="9">
        <v>899</v>
      </c>
      <c r="F162">
        <v>44</v>
      </c>
      <c r="G162">
        <v>3.7</v>
      </c>
      <c r="H162" s="18">
        <v>185</v>
      </c>
      <c r="I162" t="s">
        <v>2336</v>
      </c>
    </row>
    <row r="163" spans="1:9" x14ac:dyDescent="0.25">
      <c r="A163" t="s">
        <v>173</v>
      </c>
      <c r="B163" t="s">
        <v>1338</v>
      </c>
      <c r="C163" t="s">
        <v>9</v>
      </c>
      <c r="D163">
        <v>299</v>
      </c>
      <c r="E163" s="9">
        <v>799</v>
      </c>
      <c r="F163">
        <v>63</v>
      </c>
      <c r="G163">
        <v>4.2</v>
      </c>
      <c r="H163" s="18">
        <v>2117</v>
      </c>
      <c r="I163" t="s">
        <v>2336</v>
      </c>
    </row>
    <row r="164" spans="1:9" x14ac:dyDescent="0.25">
      <c r="A164" t="s">
        <v>174</v>
      </c>
      <c r="B164" t="s">
        <v>1339</v>
      </c>
      <c r="C164" t="s">
        <v>9</v>
      </c>
      <c r="D164">
        <v>182</v>
      </c>
      <c r="E164" s="9">
        <v>599</v>
      </c>
      <c r="F164">
        <v>70</v>
      </c>
      <c r="G164">
        <v>4</v>
      </c>
      <c r="H164" s="18">
        <v>9378</v>
      </c>
      <c r="I164" t="s">
        <v>2336</v>
      </c>
    </row>
    <row r="165" spans="1:9" x14ac:dyDescent="0.25">
      <c r="A165" t="s">
        <v>175</v>
      </c>
      <c r="B165" t="s">
        <v>1340</v>
      </c>
      <c r="C165" t="s">
        <v>10</v>
      </c>
      <c r="D165">
        <v>96</v>
      </c>
      <c r="E165" s="9">
        <v>399</v>
      </c>
      <c r="F165">
        <v>76</v>
      </c>
      <c r="G165">
        <v>3.6</v>
      </c>
      <c r="H165" s="18">
        <v>1796</v>
      </c>
      <c r="I165" t="s">
        <v>2340</v>
      </c>
    </row>
    <row r="166" spans="1:9" x14ac:dyDescent="0.25">
      <c r="A166" t="s">
        <v>176</v>
      </c>
      <c r="B166" t="s">
        <v>1341</v>
      </c>
      <c r="C166" t="s">
        <v>10</v>
      </c>
      <c r="D166">
        <v>54990</v>
      </c>
      <c r="E166" s="9">
        <v>85000</v>
      </c>
      <c r="F166">
        <v>35</v>
      </c>
      <c r="G166">
        <v>4.3</v>
      </c>
      <c r="H166" s="18">
        <v>3587</v>
      </c>
      <c r="I166" t="s">
        <v>2339</v>
      </c>
    </row>
    <row r="167" spans="1:9" x14ac:dyDescent="0.25">
      <c r="A167" t="s">
        <v>177</v>
      </c>
      <c r="B167" t="s">
        <v>1342</v>
      </c>
      <c r="C167" t="s">
        <v>10</v>
      </c>
      <c r="D167">
        <v>439</v>
      </c>
      <c r="E167" s="9">
        <v>758</v>
      </c>
      <c r="F167">
        <v>42</v>
      </c>
      <c r="G167">
        <v>4.2</v>
      </c>
      <c r="H167" s="18">
        <v>4296</v>
      </c>
      <c r="I167" t="s">
        <v>2336</v>
      </c>
    </row>
    <row r="168" spans="1:9" x14ac:dyDescent="0.25">
      <c r="A168" t="s">
        <v>178</v>
      </c>
      <c r="B168" t="s">
        <v>1343</v>
      </c>
      <c r="C168" t="s">
        <v>9</v>
      </c>
      <c r="D168">
        <v>299</v>
      </c>
      <c r="E168" s="9">
        <v>999</v>
      </c>
      <c r="F168">
        <v>70</v>
      </c>
      <c r="G168">
        <v>4.3</v>
      </c>
      <c r="H168" s="18">
        <v>2651</v>
      </c>
      <c r="I168" t="s">
        <v>2336</v>
      </c>
    </row>
    <row r="169" spans="1:9" x14ac:dyDescent="0.25">
      <c r="A169" t="s">
        <v>179</v>
      </c>
      <c r="B169" t="s">
        <v>1344</v>
      </c>
      <c r="C169" t="s">
        <v>9</v>
      </c>
      <c r="D169">
        <v>299</v>
      </c>
      <c r="E169" s="9">
        <v>799</v>
      </c>
      <c r="F169">
        <v>63</v>
      </c>
      <c r="G169">
        <v>4.2</v>
      </c>
      <c r="H169" s="18">
        <v>94363</v>
      </c>
      <c r="I169" t="s">
        <v>2336</v>
      </c>
    </row>
    <row r="170" spans="1:9" x14ac:dyDescent="0.25">
      <c r="A170" t="s">
        <v>180</v>
      </c>
      <c r="B170" t="s">
        <v>1345</v>
      </c>
      <c r="C170" t="s">
        <v>10</v>
      </c>
      <c r="D170">
        <v>299</v>
      </c>
      <c r="E170" s="9">
        <v>700</v>
      </c>
      <c r="F170">
        <v>57</v>
      </c>
      <c r="G170">
        <v>4.4000000000000004</v>
      </c>
      <c r="H170" s="18">
        <v>8714</v>
      </c>
      <c r="I170" t="s">
        <v>2336</v>
      </c>
    </row>
    <row r="171" spans="1:9" x14ac:dyDescent="0.25">
      <c r="A171" t="s">
        <v>181</v>
      </c>
      <c r="B171" t="s">
        <v>1346</v>
      </c>
      <c r="C171" t="s">
        <v>9</v>
      </c>
      <c r="D171">
        <v>325</v>
      </c>
      <c r="E171" s="9">
        <v>1099</v>
      </c>
      <c r="F171">
        <v>70</v>
      </c>
      <c r="G171">
        <v>4.2</v>
      </c>
      <c r="H171" s="18">
        <v>10576</v>
      </c>
      <c r="I171" t="s">
        <v>2336</v>
      </c>
    </row>
    <row r="172" spans="1:9" x14ac:dyDescent="0.25">
      <c r="A172" t="s">
        <v>182</v>
      </c>
      <c r="B172" t="s">
        <v>1347</v>
      </c>
      <c r="C172" t="s">
        <v>10</v>
      </c>
      <c r="D172">
        <v>790</v>
      </c>
      <c r="E172" s="9">
        <v>1999</v>
      </c>
      <c r="F172">
        <v>60</v>
      </c>
      <c r="G172">
        <v>3</v>
      </c>
      <c r="H172" s="18">
        <v>103</v>
      </c>
      <c r="I172" t="s">
        <v>2336</v>
      </c>
    </row>
    <row r="173" spans="1:9" x14ac:dyDescent="0.25">
      <c r="A173" t="s">
        <v>183</v>
      </c>
      <c r="B173" t="s">
        <v>184</v>
      </c>
      <c r="C173" t="s">
        <v>10</v>
      </c>
      <c r="D173">
        <v>4699</v>
      </c>
      <c r="E173" s="9">
        <v>4699</v>
      </c>
      <c r="F173">
        <v>0</v>
      </c>
      <c r="G173">
        <v>4.5</v>
      </c>
      <c r="H173" s="18">
        <v>224</v>
      </c>
      <c r="I173" t="s">
        <v>2339</v>
      </c>
    </row>
    <row r="174" spans="1:9" x14ac:dyDescent="0.25">
      <c r="A174" t="s">
        <v>185</v>
      </c>
      <c r="B174" t="s">
        <v>1348</v>
      </c>
      <c r="C174" t="s">
        <v>10</v>
      </c>
      <c r="D174">
        <v>18999</v>
      </c>
      <c r="E174" s="9">
        <v>24990</v>
      </c>
      <c r="F174">
        <v>24</v>
      </c>
      <c r="G174">
        <v>4.3</v>
      </c>
      <c r="H174" s="18">
        <v>4702</v>
      </c>
      <c r="I174" t="s">
        <v>2339</v>
      </c>
    </row>
    <row r="175" spans="1:9" x14ac:dyDescent="0.25">
      <c r="A175" t="s">
        <v>186</v>
      </c>
      <c r="B175" t="s">
        <v>1349</v>
      </c>
      <c r="C175" t="s">
        <v>9</v>
      </c>
      <c r="D175">
        <v>199</v>
      </c>
      <c r="E175" s="9">
        <v>999</v>
      </c>
      <c r="F175">
        <v>80</v>
      </c>
      <c r="G175">
        <v>4.2</v>
      </c>
      <c r="H175" s="18">
        <v>85</v>
      </c>
      <c r="I175" t="s">
        <v>2336</v>
      </c>
    </row>
    <row r="176" spans="1:9" x14ac:dyDescent="0.25">
      <c r="A176" t="s">
        <v>187</v>
      </c>
      <c r="B176" t="s">
        <v>1350</v>
      </c>
      <c r="C176" t="s">
        <v>10</v>
      </c>
      <c r="D176">
        <v>269</v>
      </c>
      <c r="E176" s="9">
        <v>650</v>
      </c>
      <c r="F176">
        <v>59</v>
      </c>
      <c r="G176">
        <v>4.4000000000000004</v>
      </c>
      <c r="H176" s="18">
        <v>35877</v>
      </c>
      <c r="I176" t="s">
        <v>2336</v>
      </c>
    </row>
    <row r="177" spans="1:9" x14ac:dyDescent="0.25">
      <c r="A177" t="s">
        <v>188</v>
      </c>
      <c r="B177" t="s">
        <v>1351</v>
      </c>
      <c r="C177" t="s">
        <v>10</v>
      </c>
      <c r="D177">
        <v>1990</v>
      </c>
      <c r="E177" s="9">
        <v>3100</v>
      </c>
      <c r="F177">
        <v>36</v>
      </c>
      <c r="G177">
        <v>4</v>
      </c>
      <c r="H177" s="18">
        <v>897</v>
      </c>
      <c r="I177" t="s">
        <v>2339</v>
      </c>
    </row>
    <row r="178" spans="1:9" x14ac:dyDescent="0.25">
      <c r="A178" t="s">
        <v>189</v>
      </c>
      <c r="B178" t="s">
        <v>1352</v>
      </c>
      <c r="C178" t="s">
        <v>10</v>
      </c>
      <c r="D178">
        <v>2299</v>
      </c>
      <c r="E178" s="9">
        <v>3999</v>
      </c>
      <c r="F178">
        <v>43</v>
      </c>
      <c r="G178">
        <v>3.8</v>
      </c>
      <c r="H178" s="18">
        <v>282</v>
      </c>
      <c r="I178" t="s">
        <v>2339</v>
      </c>
    </row>
    <row r="179" spans="1:9" x14ac:dyDescent="0.25">
      <c r="A179" t="s">
        <v>190</v>
      </c>
      <c r="B179" t="s">
        <v>1353</v>
      </c>
      <c r="C179" t="s">
        <v>10</v>
      </c>
      <c r="D179">
        <v>349</v>
      </c>
      <c r="E179" s="9">
        <v>999</v>
      </c>
      <c r="F179">
        <v>65</v>
      </c>
      <c r="G179">
        <v>4.2</v>
      </c>
      <c r="H179" s="18">
        <v>513</v>
      </c>
      <c r="I179" t="s">
        <v>2336</v>
      </c>
    </row>
    <row r="180" spans="1:9" x14ac:dyDescent="0.25">
      <c r="A180" t="s">
        <v>191</v>
      </c>
      <c r="B180" t="s">
        <v>1354</v>
      </c>
      <c r="C180" t="s">
        <v>10</v>
      </c>
      <c r="D180">
        <v>917</v>
      </c>
      <c r="E180" s="9">
        <v>2299</v>
      </c>
      <c r="F180">
        <v>60</v>
      </c>
      <c r="G180">
        <v>4.2</v>
      </c>
      <c r="H180" s="18">
        <v>3300</v>
      </c>
      <c r="I180" t="s">
        <v>2339</v>
      </c>
    </row>
    <row r="181" spans="1:9" x14ac:dyDescent="0.25">
      <c r="A181" t="s">
        <v>192</v>
      </c>
      <c r="B181" t="s">
        <v>1355</v>
      </c>
      <c r="C181" t="s">
        <v>10</v>
      </c>
      <c r="D181">
        <v>399</v>
      </c>
      <c r="E181" s="9">
        <v>999</v>
      </c>
      <c r="F181">
        <v>60</v>
      </c>
      <c r="G181">
        <v>3.3</v>
      </c>
      <c r="H181" s="18">
        <v>23</v>
      </c>
      <c r="I181" t="s">
        <v>2336</v>
      </c>
    </row>
    <row r="182" spans="1:9" x14ac:dyDescent="0.25">
      <c r="A182" t="s">
        <v>193</v>
      </c>
      <c r="B182" t="s">
        <v>1356</v>
      </c>
      <c r="C182" t="s">
        <v>10</v>
      </c>
      <c r="D182">
        <v>45999</v>
      </c>
      <c r="E182" s="9">
        <v>69900</v>
      </c>
      <c r="F182">
        <v>34</v>
      </c>
      <c r="G182">
        <v>4.3</v>
      </c>
      <c r="H182" s="18">
        <v>7109</v>
      </c>
      <c r="I182" t="s">
        <v>2339</v>
      </c>
    </row>
    <row r="183" spans="1:9" x14ac:dyDescent="0.25">
      <c r="A183" t="s">
        <v>194</v>
      </c>
      <c r="B183" t="s">
        <v>1357</v>
      </c>
      <c r="C183" t="s">
        <v>9</v>
      </c>
      <c r="D183">
        <v>119</v>
      </c>
      <c r="E183" s="9">
        <v>299</v>
      </c>
      <c r="F183">
        <v>60</v>
      </c>
      <c r="G183">
        <v>3.8</v>
      </c>
      <c r="H183" s="18">
        <v>51</v>
      </c>
      <c r="I183" t="s">
        <v>2340</v>
      </c>
    </row>
    <row r="184" spans="1:9" x14ac:dyDescent="0.25">
      <c r="A184" t="s">
        <v>195</v>
      </c>
      <c r="B184" t="s">
        <v>1358</v>
      </c>
      <c r="C184" t="s">
        <v>10</v>
      </c>
      <c r="D184">
        <v>21999</v>
      </c>
      <c r="E184" s="9">
        <v>29999</v>
      </c>
      <c r="F184">
        <v>27</v>
      </c>
      <c r="G184">
        <v>4.2</v>
      </c>
      <c r="H184" s="18">
        <v>32840</v>
      </c>
      <c r="I184" t="s">
        <v>2339</v>
      </c>
    </row>
    <row r="185" spans="1:9" x14ac:dyDescent="0.25">
      <c r="A185" t="s">
        <v>196</v>
      </c>
      <c r="B185" t="s">
        <v>1359</v>
      </c>
      <c r="C185" t="s">
        <v>10</v>
      </c>
      <c r="D185">
        <v>299</v>
      </c>
      <c r="E185" s="9">
        <v>599</v>
      </c>
      <c r="F185">
        <v>50</v>
      </c>
      <c r="G185">
        <v>3.7</v>
      </c>
      <c r="H185" s="18">
        <v>708</v>
      </c>
      <c r="I185" t="s">
        <v>2336</v>
      </c>
    </row>
    <row r="186" spans="1:9" x14ac:dyDescent="0.25">
      <c r="A186" t="s">
        <v>197</v>
      </c>
      <c r="B186" t="s">
        <v>1360</v>
      </c>
      <c r="C186" t="s">
        <v>10</v>
      </c>
      <c r="D186">
        <v>21990</v>
      </c>
      <c r="E186" s="9">
        <v>34990</v>
      </c>
      <c r="F186">
        <v>37</v>
      </c>
      <c r="G186">
        <v>4.3</v>
      </c>
      <c r="H186" s="18">
        <v>1657</v>
      </c>
      <c r="I186" t="s">
        <v>2339</v>
      </c>
    </row>
    <row r="187" spans="1:9" x14ac:dyDescent="0.25">
      <c r="A187" t="s">
        <v>198</v>
      </c>
      <c r="B187" t="s">
        <v>1361</v>
      </c>
      <c r="C187" t="s">
        <v>9</v>
      </c>
      <c r="D187">
        <v>41744</v>
      </c>
      <c r="E187" s="9">
        <v>670</v>
      </c>
      <c r="F187">
        <v>38</v>
      </c>
      <c r="G187">
        <v>3.9</v>
      </c>
      <c r="H187" s="18">
        <v>523</v>
      </c>
      <c r="I187" t="s">
        <v>2336</v>
      </c>
    </row>
    <row r="188" spans="1:9" x14ac:dyDescent="0.25">
      <c r="A188" t="s">
        <v>199</v>
      </c>
      <c r="B188" t="s">
        <v>1362</v>
      </c>
      <c r="C188" t="s">
        <v>9</v>
      </c>
      <c r="D188">
        <v>199</v>
      </c>
      <c r="E188" s="9">
        <v>999</v>
      </c>
      <c r="F188">
        <v>80</v>
      </c>
      <c r="G188">
        <v>3</v>
      </c>
      <c r="H188" s="18"/>
      <c r="I188" t="s">
        <v>2336</v>
      </c>
    </row>
    <row r="189" spans="1:9" x14ac:dyDescent="0.25">
      <c r="A189" t="s">
        <v>200</v>
      </c>
      <c r="B189" t="s">
        <v>1363</v>
      </c>
      <c r="C189" t="s">
        <v>10</v>
      </c>
      <c r="D189">
        <v>47990</v>
      </c>
      <c r="E189" s="9">
        <v>79990</v>
      </c>
      <c r="F189">
        <v>40</v>
      </c>
      <c r="G189">
        <v>4.3</v>
      </c>
      <c r="H189" s="18">
        <v>1376</v>
      </c>
      <c r="I189" t="s">
        <v>2339</v>
      </c>
    </row>
    <row r="190" spans="1:9" x14ac:dyDescent="0.25">
      <c r="A190" t="s">
        <v>201</v>
      </c>
      <c r="B190" t="s">
        <v>1364</v>
      </c>
      <c r="C190" t="s">
        <v>10</v>
      </c>
      <c r="D190">
        <v>215</v>
      </c>
      <c r="E190" s="9">
        <v>499</v>
      </c>
      <c r="F190">
        <v>57</v>
      </c>
      <c r="G190">
        <v>3.5</v>
      </c>
      <c r="H190" s="18">
        <v>121</v>
      </c>
      <c r="I190" t="s">
        <v>2340</v>
      </c>
    </row>
    <row r="191" spans="1:9" x14ac:dyDescent="0.25">
      <c r="A191" t="s">
        <v>202</v>
      </c>
      <c r="B191" t="s">
        <v>1365</v>
      </c>
      <c r="C191" t="s">
        <v>10</v>
      </c>
      <c r="D191">
        <v>18999</v>
      </c>
      <c r="E191" s="9">
        <v>35000</v>
      </c>
      <c r="F191">
        <v>46</v>
      </c>
      <c r="G191">
        <v>4</v>
      </c>
      <c r="H191" s="18">
        <v>1001</v>
      </c>
      <c r="I191" t="s">
        <v>2339</v>
      </c>
    </row>
    <row r="192" spans="1:9" x14ac:dyDescent="0.25">
      <c r="A192" t="s">
        <v>203</v>
      </c>
      <c r="B192" t="s">
        <v>1366</v>
      </c>
      <c r="C192" t="s">
        <v>9</v>
      </c>
      <c r="D192">
        <v>249</v>
      </c>
      <c r="E192" s="9">
        <v>999</v>
      </c>
      <c r="F192">
        <v>75</v>
      </c>
      <c r="G192">
        <v>4.3</v>
      </c>
      <c r="H192" s="18">
        <v>112</v>
      </c>
      <c r="I192" t="s">
        <v>2336</v>
      </c>
    </row>
    <row r="193" spans="1:9" x14ac:dyDescent="0.25">
      <c r="A193" t="s">
        <v>204</v>
      </c>
      <c r="B193" t="s">
        <v>1367</v>
      </c>
      <c r="C193" t="s">
        <v>10</v>
      </c>
      <c r="D193">
        <v>7999</v>
      </c>
      <c r="E193" s="9">
        <v>15999</v>
      </c>
      <c r="F193">
        <v>50</v>
      </c>
      <c r="G193">
        <v>3.8</v>
      </c>
      <c r="H193" s="18">
        <v>3022</v>
      </c>
      <c r="I193" t="s">
        <v>2339</v>
      </c>
    </row>
    <row r="194" spans="1:9" x14ac:dyDescent="0.25">
      <c r="A194" t="s">
        <v>205</v>
      </c>
      <c r="B194" t="s">
        <v>1368</v>
      </c>
      <c r="C194" t="s">
        <v>9</v>
      </c>
      <c r="D194">
        <v>649</v>
      </c>
      <c r="E194" s="9">
        <v>1600</v>
      </c>
      <c r="F194">
        <v>59</v>
      </c>
      <c r="G194">
        <v>4.3</v>
      </c>
      <c r="H194" s="18">
        <v>5451</v>
      </c>
      <c r="I194" t="s">
        <v>2336</v>
      </c>
    </row>
    <row r="195" spans="1:9" x14ac:dyDescent="0.25">
      <c r="A195" t="s">
        <v>206</v>
      </c>
      <c r="B195" t="s">
        <v>207</v>
      </c>
      <c r="C195" t="s">
        <v>10</v>
      </c>
      <c r="D195">
        <v>1289</v>
      </c>
      <c r="E195" s="9">
        <v>2499</v>
      </c>
      <c r="F195">
        <v>48</v>
      </c>
      <c r="G195">
        <v>3.3</v>
      </c>
      <c r="H195" s="18">
        <v>73</v>
      </c>
      <c r="I195" t="s">
        <v>2339</v>
      </c>
    </row>
    <row r="196" spans="1:9" x14ac:dyDescent="0.25">
      <c r="A196" t="s">
        <v>208</v>
      </c>
      <c r="B196" t="s">
        <v>1369</v>
      </c>
      <c r="C196" t="s">
        <v>10</v>
      </c>
      <c r="D196">
        <v>609</v>
      </c>
      <c r="E196" s="9">
        <v>1500</v>
      </c>
      <c r="F196">
        <v>59</v>
      </c>
      <c r="G196">
        <v>4.5</v>
      </c>
      <c r="H196" s="18">
        <v>1029</v>
      </c>
      <c r="I196" t="s">
        <v>2336</v>
      </c>
    </row>
    <row r="197" spans="1:9" x14ac:dyDescent="0.25">
      <c r="A197" t="s">
        <v>209</v>
      </c>
      <c r="B197" t="s">
        <v>1370</v>
      </c>
      <c r="C197" t="s">
        <v>10</v>
      </c>
      <c r="D197">
        <v>32990</v>
      </c>
      <c r="E197" s="9">
        <v>54990</v>
      </c>
      <c r="F197">
        <v>40</v>
      </c>
      <c r="G197">
        <v>4.0999999999999996</v>
      </c>
      <c r="H197" s="18">
        <v>1555</v>
      </c>
      <c r="I197" t="s">
        <v>2339</v>
      </c>
    </row>
    <row r="198" spans="1:9" x14ac:dyDescent="0.25">
      <c r="A198" t="s">
        <v>210</v>
      </c>
      <c r="B198" t="s">
        <v>1371</v>
      </c>
      <c r="C198" t="s">
        <v>10</v>
      </c>
      <c r="D198">
        <v>599</v>
      </c>
      <c r="E198" s="9">
        <v>1999</v>
      </c>
      <c r="F198">
        <v>70</v>
      </c>
      <c r="G198">
        <v>4.2</v>
      </c>
      <c r="H198" s="18">
        <v>47</v>
      </c>
      <c r="I198" t="s">
        <v>2336</v>
      </c>
    </row>
    <row r="199" spans="1:9" x14ac:dyDescent="0.25">
      <c r="A199" t="s">
        <v>211</v>
      </c>
      <c r="B199" t="s">
        <v>1372</v>
      </c>
      <c r="C199" t="s">
        <v>9</v>
      </c>
      <c r="D199">
        <v>349</v>
      </c>
      <c r="E199" s="9">
        <v>899</v>
      </c>
      <c r="F199">
        <v>61</v>
      </c>
      <c r="G199">
        <v>4.0999999999999996</v>
      </c>
      <c r="H199" s="18">
        <v>14896</v>
      </c>
      <c r="I199" t="s">
        <v>2336</v>
      </c>
    </row>
    <row r="200" spans="1:9" x14ac:dyDescent="0.25">
      <c r="A200" t="s">
        <v>212</v>
      </c>
      <c r="B200" t="s">
        <v>1373</v>
      </c>
      <c r="C200" t="s">
        <v>10</v>
      </c>
      <c r="D200">
        <v>29999</v>
      </c>
      <c r="E200" s="9">
        <v>50999</v>
      </c>
      <c r="F200">
        <v>41</v>
      </c>
      <c r="G200">
        <v>4.4000000000000004</v>
      </c>
      <c r="H200" s="18">
        <v>1712</v>
      </c>
      <c r="I200" t="s">
        <v>2339</v>
      </c>
    </row>
    <row r="201" spans="1:9" x14ac:dyDescent="0.25">
      <c r="A201" t="s">
        <v>213</v>
      </c>
      <c r="B201" t="s">
        <v>1374</v>
      </c>
      <c r="C201" t="s">
        <v>10</v>
      </c>
      <c r="D201">
        <v>199</v>
      </c>
      <c r="E201" s="9">
        <v>399</v>
      </c>
      <c r="F201">
        <v>50</v>
      </c>
      <c r="G201">
        <v>4.2</v>
      </c>
      <c r="H201" s="18">
        <v>1335</v>
      </c>
      <c r="I201" t="s">
        <v>2340</v>
      </c>
    </row>
    <row r="202" spans="1:9" x14ac:dyDescent="0.25">
      <c r="A202" t="s">
        <v>214</v>
      </c>
      <c r="B202" t="s">
        <v>1375</v>
      </c>
      <c r="C202" t="s">
        <v>10</v>
      </c>
      <c r="D202">
        <v>349</v>
      </c>
      <c r="E202" s="9">
        <v>699</v>
      </c>
      <c r="F202">
        <v>50</v>
      </c>
      <c r="G202">
        <v>3.9</v>
      </c>
      <c r="H202" s="18">
        <v>214</v>
      </c>
      <c r="I202" t="s">
        <v>2336</v>
      </c>
    </row>
    <row r="203" spans="1:9" x14ac:dyDescent="0.25">
      <c r="A203" t="s">
        <v>215</v>
      </c>
      <c r="B203" t="s">
        <v>1376</v>
      </c>
      <c r="C203" t="s">
        <v>10</v>
      </c>
      <c r="D203">
        <v>1850</v>
      </c>
      <c r="E203" s="9">
        <v>4500</v>
      </c>
      <c r="F203">
        <v>59</v>
      </c>
      <c r="G203">
        <v>4</v>
      </c>
      <c r="H203" s="18">
        <v>184</v>
      </c>
      <c r="I203" t="s">
        <v>2339</v>
      </c>
    </row>
    <row r="204" spans="1:9" x14ac:dyDescent="0.25">
      <c r="A204" t="s">
        <v>216</v>
      </c>
      <c r="B204" t="s">
        <v>1377</v>
      </c>
      <c r="C204" t="s">
        <v>10</v>
      </c>
      <c r="D204">
        <v>13990</v>
      </c>
      <c r="E204" s="9">
        <v>28900</v>
      </c>
      <c r="F204">
        <v>52</v>
      </c>
      <c r="G204">
        <v>4.5</v>
      </c>
      <c r="H204" s="18">
        <v>7</v>
      </c>
      <c r="I204" t="s">
        <v>2339</v>
      </c>
    </row>
    <row r="205" spans="1:9" x14ac:dyDescent="0.25">
      <c r="A205" t="s">
        <v>217</v>
      </c>
      <c r="B205" t="s">
        <v>1378</v>
      </c>
      <c r="C205" t="s">
        <v>9</v>
      </c>
      <c r="D205">
        <v>129</v>
      </c>
      <c r="E205" s="9">
        <v>449</v>
      </c>
      <c r="F205">
        <v>71</v>
      </c>
      <c r="G205">
        <v>3.7</v>
      </c>
      <c r="H205" s="18">
        <v>41</v>
      </c>
      <c r="I205" t="s">
        <v>2340</v>
      </c>
    </row>
    <row r="206" spans="1:9" x14ac:dyDescent="0.25">
      <c r="A206" t="s">
        <v>218</v>
      </c>
      <c r="B206" t="s">
        <v>1379</v>
      </c>
      <c r="C206" t="s">
        <v>10</v>
      </c>
      <c r="D206">
        <v>379</v>
      </c>
      <c r="E206" s="9">
        <v>999</v>
      </c>
      <c r="F206">
        <v>62</v>
      </c>
      <c r="G206">
        <v>4.2</v>
      </c>
      <c r="H206" s="18">
        <v>12153</v>
      </c>
      <c r="I206" t="s">
        <v>2336</v>
      </c>
    </row>
    <row r="207" spans="1:9" x14ac:dyDescent="0.25">
      <c r="A207" t="s">
        <v>219</v>
      </c>
      <c r="B207" t="s">
        <v>1380</v>
      </c>
      <c r="C207" t="s">
        <v>10</v>
      </c>
      <c r="D207">
        <v>185</v>
      </c>
      <c r="E207" s="9">
        <v>499</v>
      </c>
      <c r="F207">
        <v>63</v>
      </c>
      <c r="G207">
        <v>4.2</v>
      </c>
      <c r="H207" s="18">
        <v>25</v>
      </c>
      <c r="I207" t="s">
        <v>2340</v>
      </c>
    </row>
    <row r="208" spans="1:9" x14ac:dyDescent="0.25">
      <c r="A208" t="s">
        <v>220</v>
      </c>
      <c r="B208" t="s">
        <v>1381</v>
      </c>
      <c r="C208" t="s">
        <v>9</v>
      </c>
      <c r="D208">
        <v>218</v>
      </c>
      <c r="E208" s="9">
        <v>999</v>
      </c>
      <c r="F208">
        <v>78</v>
      </c>
      <c r="G208">
        <v>4.2</v>
      </c>
      <c r="H208" s="18">
        <v>163</v>
      </c>
      <c r="I208" t="s">
        <v>2336</v>
      </c>
    </row>
    <row r="209" spans="1:9" x14ac:dyDescent="0.25">
      <c r="A209" t="s">
        <v>221</v>
      </c>
      <c r="B209" t="s">
        <v>1382</v>
      </c>
      <c r="C209" t="s">
        <v>9</v>
      </c>
      <c r="D209">
        <v>199</v>
      </c>
      <c r="E209" s="9">
        <v>999</v>
      </c>
      <c r="F209">
        <v>80</v>
      </c>
      <c r="G209">
        <v>4.3</v>
      </c>
      <c r="H209" s="18">
        <v>87</v>
      </c>
      <c r="I209" t="s">
        <v>2336</v>
      </c>
    </row>
    <row r="210" spans="1:9" x14ac:dyDescent="0.25">
      <c r="A210" t="s">
        <v>222</v>
      </c>
      <c r="B210" t="s">
        <v>1383</v>
      </c>
      <c r="C210" t="s">
        <v>10</v>
      </c>
      <c r="D210">
        <v>499</v>
      </c>
      <c r="E210" s="9">
        <v>900</v>
      </c>
      <c r="F210">
        <v>45</v>
      </c>
      <c r="G210">
        <v>4.4000000000000004</v>
      </c>
      <c r="H210" s="18">
        <v>2165</v>
      </c>
      <c r="I210" t="s">
        <v>2336</v>
      </c>
    </row>
    <row r="211" spans="1:9" x14ac:dyDescent="0.25">
      <c r="A211" t="s">
        <v>223</v>
      </c>
      <c r="B211" t="s">
        <v>1384</v>
      </c>
      <c r="C211" t="s">
        <v>10</v>
      </c>
      <c r="D211">
        <v>26999</v>
      </c>
      <c r="E211" s="9">
        <v>42999</v>
      </c>
      <c r="F211">
        <v>37</v>
      </c>
      <c r="G211">
        <v>4.2</v>
      </c>
      <c r="H211" s="18">
        <v>1510</v>
      </c>
      <c r="I211" t="s">
        <v>2339</v>
      </c>
    </row>
    <row r="212" spans="1:9" x14ac:dyDescent="0.25">
      <c r="A212" t="s">
        <v>224</v>
      </c>
      <c r="B212" t="s">
        <v>1385</v>
      </c>
      <c r="C212" t="s">
        <v>10</v>
      </c>
      <c r="D212">
        <v>893</v>
      </c>
      <c r="E212" s="9">
        <v>1052</v>
      </c>
      <c r="F212">
        <v>15</v>
      </c>
      <c r="G212">
        <v>4.3</v>
      </c>
      <c r="H212" s="18">
        <v>106</v>
      </c>
      <c r="I212" t="s">
        <v>2336</v>
      </c>
    </row>
    <row r="213" spans="1:9" x14ac:dyDescent="0.25">
      <c r="A213" t="s">
        <v>225</v>
      </c>
      <c r="B213" t="s">
        <v>1386</v>
      </c>
      <c r="C213" t="s">
        <v>10</v>
      </c>
      <c r="D213">
        <v>10990</v>
      </c>
      <c r="E213" s="9">
        <v>19990</v>
      </c>
      <c r="F213">
        <v>45</v>
      </c>
      <c r="G213">
        <v>3.7</v>
      </c>
      <c r="H213" s="18">
        <v>129</v>
      </c>
      <c r="I213" t="s">
        <v>2339</v>
      </c>
    </row>
    <row r="214" spans="1:9" x14ac:dyDescent="0.25">
      <c r="A214" t="s">
        <v>226</v>
      </c>
      <c r="B214" t="s">
        <v>1387</v>
      </c>
      <c r="C214" t="s">
        <v>9</v>
      </c>
      <c r="D214">
        <v>379</v>
      </c>
      <c r="E214" s="9">
        <v>1099</v>
      </c>
      <c r="F214">
        <v>66</v>
      </c>
      <c r="G214">
        <v>4.3</v>
      </c>
      <c r="H214" s="18">
        <v>3049</v>
      </c>
      <c r="I214" t="s">
        <v>2336</v>
      </c>
    </row>
    <row r="215" spans="1:9" x14ac:dyDescent="0.25">
      <c r="A215" t="s">
        <v>227</v>
      </c>
      <c r="B215" t="s">
        <v>1388</v>
      </c>
      <c r="C215" t="s">
        <v>10</v>
      </c>
      <c r="D215">
        <v>699</v>
      </c>
      <c r="E215" s="9">
        <v>1899</v>
      </c>
      <c r="F215">
        <v>63</v>
      </c>
      <c r="G215">
        <v>4.4000000000000004</v>
      </c>
      <c r="H215" s="18">
        <v>390</v>
      </c>
      <c r="I215" t="s">
        <v>2336</v>
      </c>
    </row>
    <row r="216" spans="1:9" x14ac:dyDescent="0.25">
      <c r="A216" t="s">
        <v>228</v>
      </c>
      <c r="B216" t="s">
        <v>1389</v>
      </c>
      <c r="C216" t="s">
        <v>10</v>
      </c>
      <c r="D216">
        <v>2699</v>
      </c>
      <c r="E216" s="9">
        <v>3500</v>
      </c>
      <c r="F216">
        <v>23</v>
      </c>
      <c r="G216">
        <v>3.5</v>
      </c>
      <c r="H216" s="18">
        <v>621</v>
      </c>
      <c r="I216" t="s">
        <v>2339</v>
      </c>
    </row>
    <row r="217" spans="1:9" x14ac:dyDescent="0.25">
      <c r="A217" t="s">
        <v>229</v>
      </c>
      <c r="B217" t="s">
        <v>1390</v>
      </c>
      <c r="C217" t="s">
        <v>9</v>
      </c>
      <c r="D217">
        <v>129</v>
      </c>
      <c r="E217" s="9">
        <v>599</v>
      </c>
      <c r="F217">
        <v>78</v>
      </c>
      <c r="G217">
        <v>4.0999999999999996</v>
      </c>
      <c r="H217" s="18">
        <v>265</v>
      </c>
      <c r="I217" t="s">
        <v>2336</v>
      </c>
    </row>
    <row r="218" spans="1:9" x14ac:dyDescent="0.25">
      <c r="A218" t="s">
        <v>230</v>
      </c>
      <c r="B218" t="s">
        <v>1391</v>
      </c>
      <c r="C218" t="s">
        <v>9</v>
      </c>
      <c r="D218">
        <v>389</v>
      </c>
      <c r="E218" s="9">
        <v>999</v>
      </c>
      <c r="F218">
        <v>61</v>
      </c>
      <c r="G218">
        <v>4.3</v>
      </c>
      <c r="H218" s="18">
        <v>838</v>
      </c>
      <c r="I218" t="s">
        <v>2336</v>
      </c>
    </row>
    <row r="219" spans="1:9" x14ac:dyDescent="0.25">
      <c r="A219" t="s">
        <v>231</v>
      </c>
      <c r="B219" t="s">
        <v>1392</v>
      </c>
      <c r="C219" t="s">
        <v>10</v>
      </c>
      <c r="D219">
        <v>246</v>
      </c>
      <c r="E219" s="9">
        <v>600</v>
      </c>
      <c r="F219">
        <v>59</v>
      </c>
      <c r="G219">
        <v>4.2</v>
      </c>
      <c r="H219" s="18">
        <v>143</v>
      </c>
      <c r="I219" t="s">
        <v>2336</v>
      </c>
    </row>
    <row r="220" spans="1:9" x14ac:dyDescent="0.25">
      <c r="A220" t="s">
        <v>232</v>
      </c>
      <c r="B220" t="s">
        <v>1393</v>
      </c>
      <c r="C220" t="s">
        <v>9</v>
      </c>
      <c r="D220">
        <v>299</v>
      </c>
      <c r="E220" s="9">
        <v>799</v>
      </c>
      <c r="F220">
        <v>63</v>
      </c>
      <c r="G220">
        <v>4</v>
      </c>
      <c r="H220" s="18">
        <v>151</v>
      </c>
      <c r="I220" t="s">
        <v>2336</v>
      </c>
    </row>
    <row r="221" spans="1:9" x14ac:dyDescent="0.25">
      <c r="A221" t="s">
        <v>233</v>
      </c>
      <c r="B221" t="s">
        <v>1394</v>
      </c>
      <c r="C221" t="s">
        <v>10</v>
      </c>
      <c r="D221">
        <v>247</v>
      </c>
      <c r="E221" s="9">
        <v>399</v>
      </c>
      <c r="F221">
        <v>38</v>
      </c>
      <c r="G221">
        <v>3.9</v>
      </c>
      <c r="H221" s="18">
        <v>200</v>
      </c>
      <c r="I221" t="s">
        <v>2340</v>
      </c>
    </row>
    <row r="222" spans="1:9" x14ac:dyDescent="0.25">
      <c r="A222" t="s">
        <v>234</v>
      </c>
      <c r="B222" t="s">
        <v>1395</v>
      </c>
      <c r="C222" t="s">
        <v>10</v>
      </c>
      <c r="D222">
        <v>1369</v>
      </c>
      <c r="E222" s="9">
        <v>2999</v>
      </c>
      <c r="F222">
        <v>54</v>
      </c>
      <c r="G222">
        <v>3.3</v>
      </c>
      <c r="H222" s="18">
        <v>227</v>
      </c>
      <c r="I222" t="s">
        <v>2339</v>
      </c>
    </row>
    <row r="223" spans="1:9" x14ac:dyDescent="0.25">
      <c r="A223" t="s">
        <v>235</v>
      </c>
      <c r="B223" t="s">
        <v>1396</v>
      </c>
      <c r="C223" t="s">
        <v>10</v>
      </c>
      <c r="D223">
        <v>199</v>
      </c>
      <c r="E223" s="9">
        <v>499</v>
      </c>
      <c r="F223">
        <v>60</v>
      </c>
      <c r="G223">
        <v>3.8</v>
      </c>
      <c r="H223" s="18">
        <v>538</v>
      </c>
      <c r="I223" t="s">
        <v>2340</v>
      </c>
    </row>
    <row r="224" spans="1:9" x14ac:dyDescent="0.25">
      <c r="A224" t="s">
        <v>236</v>
      </c>
      <c r="B224" t="s">
        <v>1397</v>
      </c>
      <c r="C224" t="s">
        <v>10</v>
      </c>
      <c r="D224">
        <v>299</v>
      </c>
      <c r="E224" s="9">
        <v>599</v>
      </c>
      <c r="F224">
        <v>50</v>
      </c>
      <c r="G224">
        <v>4</v>
      </c>
      <c r="H224" s="18">
        <v>171</v>
      </c>
      <c r="I224" t="s">
        <v>2336</v>
      </c>
    </row>
    <row r="225" spans="1:9" x14ac:dyDescent="0.25">
      <c r="A225" t="s">
        <v>237</v>
      </c>
      <c r="B225" t="s">
        <v>1398</v>
      </c>
      <c r="C225" t="s">
        <v>10</v>
      </c>
      <c r="D225">
        <v>14999</v>
      </c>
      <c r="E225" s="9">
        <v>14999</v>
      </c>
      <c r="F225">
        <v>0</v>
      </c>
      <c r="G225">
        <v>4.3</v>
      </c>
      <c r="H225" s="18">
        <v>27508</v>
      </c>
      <c r="I225" t="s">
        <v>2339</v>
      </c>
    </row>
    <row r="226" spans="1:9" x14ac:dyDescent="0.25">
      <c r="A226" t="s">
        <v>238</v>
      </c>
      <c r="B226" t="s">
        <v>1399</v>
      </c>
      <c r="C226" t="s">
        <v>10</v>
      </c>
      <c r="D226">
        <v>24990</v>
      </c>
      <c r="E226" s="9">
        <v>51990</v>
      </c>
      <c r="F226">
        <v>52</v>
      </c>
      <c r="G226">
        <v>4.2</v>
      </c>
      <c r="H226" s="18">
        <v>2951</v>
      </c>
      <c r="I226" t="s">
        <v>2339</v>
      </c>
    </row>
    <row r="227" spans="1:9" x14ac:dyDescent="0.25">
      <c r="A227" t="s">
        <v>239</v>
      </c>
      <c r="B227" t="s">
        <v>1400</v>
      </c>
      <c r="C227" t="s">
        <v>9</v>
      </c>
      <c r="D227">
        <v>249</v>
      </c>
      <c r="E227" s="9">
        <v>999</v>
      </c>
      <c r="F227">
        <v>75</v>
      </c>
      <c r="G227">
        <v>5</v>
      </c>
      <c r="H227" s="18"/>
      <c r="I227" t="s">
        <v>2336</v>
      </c>
    </row>
    <row r="228" spans="1:9" x14ac:dyDescent="0.25">
      <c r="A228" t="s">
        <v>240</v>
      </c>
      <c r="B228" t="s">
        <v>1401</v>
      </c>
      <c r="C228" t="s">
        <v>10</v>
      </c>
      <c r="D228">
        <v>61999</v>
      </c>
      <c r="E228" s="9">
        <v>69999</v>
      </c>
      <c r="F228">
        <v>11</v>
      </c>
      <c r="G228">
        <v>4.0999999999999996</v>
      </c>
      <c r="H228" s="18">
        <v>6753</v>
      </c>
      <c r="I228" t="s">
        <v>2339</v>
      </c>
    </row>
    <row r="229" spans="1:9" x14ac:dyDescent="0.25">
      <c r="A229" t="s">
        <v>241</v>
      </c>
      <c r="B229" t="s">
        <v>1402</v>
      </c>
      <c r="C229" t="s">
        <v>10</v>
      </c>
      <c r="D229">
        <v>24499</v>
      </c>
      <c r="E229" s="9">
        <v>50000</v>
      </c>
      <c r="F229">
        <v>51</v>
      </c>
      <c r="G229">
        <v>3.9</v>
      </c>
      <c r="H229" s="18">
        <v>3518</v>
      </c>
      <c r="I229" t="s">
        <v>2339</v>
      </c>
    </row>
    <row r="230" spans="1:9" x14ac:dyDescent="0.25">
      <c r="A230" t="s">
        <v>242</v>
      </c>
      <c r="B230" t="s">
        <v>1403</v>
      </c>
      <c r="C230" t="s">
        <v>9</v>
      </c>
      <c r="D230">
        <v>349</v>
      </c>
      <c r="E230" s="9">
        <v>999</v>
      </c>
      <c r="F230">
        <v>65</v>
      </c>
      <c r="G230">
        <v>4.3</v>
      </c>
      <c r="H230" s="18">
        <v>838</v>
      </c>
      <c r="I230" t="s">
        <v>2336</v>
      </c>
    </row>
    <row r="231" spans="1:9" x14ac:dyDescent="0.25">
      <c r="A231" t="s">
        <v>243</v>
      </c>
      <c r="B231" t="s">
        <v>1404</v>
      </c>
      <c r="C231" t="s">
        <v>10</v>
      </c>
      <c r="D231">
        <v>197</v>
      </c>
      <c r="E231" s="9">
        <v>499</v>
      </c>
      <c r="F231">
        <v>61</v>
      </c>
      <c r="G231">
        <v>3.8</v>
      </c>
      <c r="H231" s="18">
        <v>136</v>
      </c>
      <c r="I231" t="s">
        <v>2340</v>
      </c>
    </row>
    <row r="232" spans="1:9" x14ac:dyDescent="0.25">
      <c r="A232" t="s">
        <v>244</v>
      </c>
      <c r="B232" t="s">
        <v>1405</v>
      </c>
      <c r="C232" t="s">
        <v>9</v>
      </c>
      <c r="D232">
        <v>1519</v>
      </c>
      <c r="E232" s="9">
        <v>1899</v>
      </c>
      <c r="F232">
        <v>20</v>
      </c>
      <c r="G232">
        <v>4.4000000000000004</v>
      </c>
      <c r="H232" s="18">
        <v>19763</v>
      </c>
      <c r="I232" t="s">
        <v>2336</v>
      </c>
    </row>
    <row r="233" spans="1:9" x14ac:dyDescent="0.25">
      <c r="A233" t="s">
        <v>245</v>
      </c>
      <c r="B233" t="s">
        <v>1406</v>
      </c>
      <c r="C233" t="s">
        <v>10</v>
      </c>
      <c r="D233">
        <v>46999</v>
      </c>
      <c r="E233" s="9">
        <v>69999</v>
      </c>
      <c r="F233">
        <v>33</v>
      </c>
      <c r="G233">
        <v>4.3</v>
      </c>
      <c r="H233" s="18">
        <v>21252</v>
      </c>
      <c r="I233" t="s">
        <v>2339</v>
      </c>
    </row>
    <row r="234" spans="1:9" x14ac:dyDescent="0.25">
      <c r="A234" t="s">
        <v>246</v>
      </c>
      <c r="B234" t="s">
        <v>1407</v>
      </c>
      <c r="C234" t="s">
        <v>9</v>
      </c>
      <c r="D234">
        <v>299</v>
      </c>
      <c r="E234" s="9">
        <v>799</v>
      </c>
      <c r="F234">
        <v>63</v>
      </c>
      <c r="G234">
        <v>4.3</v>
      </c>
      <c r="H234" s="18">
        <v>1902</v>
      </c>
      <c r="I234" t="s">
        <v>2336</v>
      </c>
    </row>
    <row r="235" spans="1:9" x14ac:dyDescent="0.25">
      <c r="A235" t="s">
        <v>247</v>
      </c>
      <c r="B235" t="s">
        <v>1408</v>
      </c>
      <c r="C235" t="s">
        <v>10</v>
      </c>
      <c r="D235">
        <v>2049</v>
      </c>
      <c r="E235" s="9">
        <v>2199</v>
      </c>
      <c r="F235">
        <v>7</v>
      </c>
      <c r="G235">
        <v>4.3</v>
      </c>
      <c r="H235" s="18">
        <v>178912</v>
      </c>
      <c r="I235" t="s">
        <v>2339</v>
      </c>
    </row>
    <row r="236" spans="1:9" x14ac:dyDescent="0.25">
      <c r="A236" t="s">
        <v>248</v>
      </c>
      <c r="B236" t="s">
        <v>1409</v>
      </c>
      <c r="C236" t="s">
        <v>10</v>
      </c>
      <c r="D236">
        <v>6499</v>
      </c>
      <c r="E236" s="9">
        <v>8999</v>
      </c>
      <c r="F236">
        <v>28</v>
      </c>
      <c r="G236">
        <v>4</v>
      </c>
      <c r="H236" s="18">
        <v>7807</v>
      </c>
      <c r="I236" t="s">
        <v>2339</v>
      </c>
    </row>
    <row r="237" spans="1:9" x14ac:dyDescent="0.25">
      <c r="A237" t="s">
        <v>249</v>
      </c>
      <c r="B237" t="s">
        <v>1410</v>
      </c>
      <c r="C237" t="s">
        <v>10</v>
      </c>
      <c r="D237">
        <v>28999</v>
      </c>
      <c r="E237" s="9">
        <v>28999</v>
      </c>
      <c r="F237">
        <v>0</v>
      </c>
      <c r="G237">
        <v>4.3</v>
      </c>
      <c r="H237" s="18">
        <v>17415</v>
      </c>
      <c r="I237" t="s">
        <v>2339</v>
      </c>
    </row>
    <row r="238" spans="1:9" x14ac:dyDescent="0.25">
      <c r="A238" t="s">
        <v>250</v>
      </c>
      <c r="B238" t="s">
        <v>1411</v>
      </c>
      <c r="C238" t="s">
        <v>10</v>
      </c>
      <c r="D238">
        <v>28999</v>
      </c>
      <c r="E238" s="9">
        <v>28999</v>
      </c>
      <c r="F238">
        <v>0</v>
      </c>
      <c r="G238">
        <v>4.3</v>
      </c>
      <c r="H238" s="18">
        <v>17415</v>
      </c>
      <c r="I238" t="s">
        <v>2339</v>
      </c>
    </row>
    <row r="239" spans="1:9" x14ac:dyDescent="0.25">
      <c r="A239" t="s">
        <v>251</v>
      </c>
      <c r="B239" t="s">
        <v>1412</v>
      </c>
      <c r="C239" t="s">
        <v>10</v>
      </c>
      <c r="D239">
        <v>6499</v>
      </c>
      <c r="E239" s="9">
        <v>8999</v>
      </c>
      <c r="F239">
        <v>28</v>
      </c>
      <c r="G239">
        <v>4</v>
      </c>
      <c r="H239" s="18">
        <v>7807</v>
      </c>
      <c r="I239" t="s">
        <v>2339</v>
      </c>
    </row>
    <row r="240" spans="1:9" x14ac:dyDescent="0.25">
      <c r="A240" t="s">
        <v>252</v>
      </c>
      <c r="B240" t="s">
        <v>1413</v>
      </c>
      <c r="C240" t="s">
        <v>10</v>
      </c>
      <c r="D240">
        <v>6499</v>
      </c>
      <c r="E240" s="9">
        <v>8999</v>
      </c>
      <c r="F240">
        <v>28</v>
      </c>
      <c r="G240">
        <v>4</v>
      </c>
      <c r="H240" s="18">
        <v>7807</v>
      </c>
      <c r="I240" t="s">
        <v>2339</v>
      </c>
    </row>
    <row r="241" spans="1:9" x14ac:dyDescent="0.25">
      <c r="A241" t="s">
        <v>253</v>
      </c>
      <c r="B241" t="s">
        <v>1414</v>
      </c>
      <c r="C241" t="s">
        <v>10</v>
      </c>
      <c r="D241">
        <v>9499</v>
      </c>
      <c r="E241" s="9">
        <v>11999</v>
      </c>
      <c r="F241">
        <v>21</v>
      </c>
      <c r="G241">
        <v>4.2</v>
      </c>
      <c r="H241" s="18">
        <v>284</v>
      </c>
      <c r="I241" t="s">
        <v>2339</v>
      </c>
    </row>
    <row r="242" spans="1:9" x14ac:dyDescent="0.25">
      <c r="A242" t="s">
        <v>254</v>
      </c>
      <c r="B242" t="s">
        <v>1415</v>
      </c>
      <c r="C242" t="s">
        <v>10</v>
      </c>
      <c r="D242">
        <v>599</v>
      </c>
      <c r="E242" s="9">
        <v>2499</v>
      </c>
      <c r="F242">
        <v>76</v>
      </c>
      <c r="G242">
        <v>3.9</v>
      </c>
      <c r="H242" s="18">
        <v>58162</v>
      </c>
      <c r="I242" t="s">
        <v>2339</v>
      </c>
    </row>
    <row r="243" spans="1:9" x14ac:dyDescent="0.25">
      <c r="A243" t="s">
        <v>255</v>
      </c>
      <c r="B243" t="s">
        <v>1416</v>
      </c>
      <c r="C243" t="s">
        <v>10</v>
      </c>
      <c r="D243">
        <v>8999</v>
      </c>
      <c r="E243" s="9">
        <v>11999</v>
      </c>
      <c r="F243">
        <v>25</v>
      </c>
      <c r="G243">
        <v>4</v>
      </c>
      <c r="H243" s="18">
        <v>12796</v>
      </c>
      <c r="I243" t="s">
        <v>2339</v>
      </c>
    </row>
    <row r="244" spans="1:9" x14ac:dyDescent="0.25">
      <c r="A244" t="s">
        <v>256</v>
      </c>
      <c r="B244" t="s">
        <v>1417</v>
      </c>
      <c r="C244" t="s">
        <v>10</v>
      </c>
      <c r="D244">
        <v>349</v>
      </c>
      <c r="E244" s="9">
        <v>999</v>
      </c>
      <c r="F244">
        <v>65</v>
      </c>
      <c r="G244">
        <v>4.0999999999999996</v>
      </c>
      <c r="H244" s="18">
        <v>363713</v>
      </c>
      <c r="I244" t="s">
        <v>2336</v>
      </c>
    </row>
    <row r="245" spans="1:9" x14ac:dyDescent="0.25">
      <c r="A245" t="s">
        <v>257</v>
      </c>
      <c r="B245" t="s">
        <v>1418</v>
      </c>
      <c r="C245" t="s">
        <v>10</v>
      </c>
      <c r="D245">
        <v>959</v>
      </c>
      <c r="E245" s="9">
        <v>1800</v>
      </c>
      <c r="F245">
        <v>47</v>
      </c>
      <c r="G245">
        <v>4.4000000000000004</v>
      </c>
      <c r="H245" s="18">
        <v>67259</v>
      </c>
      <c r="I245" t="s">
        <v>2336</v>
      </c>
    </row>
    <row r="246" spans="1:9" x14ac:dyDescent="0.25">
      <c r="A246" t="s">
        <v>258</v>
      </c>
      <c r="B246" t="s">
        <v>1419</v>
      </c>
      <c r="C246" t="s">
        <v>10</v>
      </c>
      <c r="D246">
        <v>9499</v>
      </c>
      <c r="E246" s="9">
        <v>11999</v>
      </c>
      <c r="F246">
        <v>21</v>
      </c>
      <c r="G246">
        <v>4.2</v>
      </c>
      <c r="H246" s="18">
        <v>284</v>
      </c>
      <c r="I246" t="s">
        <v>2339</v>
      </c>
    </row>
    <row r="247" spans="1:9" x14ac:dyDescent="0.25">
      <c r="A247" t="s">
        <v>259</v>
      </c>
      <c r="B247" t="s">
        <v>1420</v>
      </c>
      <c r="C247" t="s">
        <v>10</v>
      </c>
      <c r="D247">
        <v>1499</v>
      </c>
      <c r="E247" s="9">
        <v>2499</v>
      </c>
      <c r="F247">
        <v>40</v>
      </c>
      <c r="G247">
        <v>4.3</v>
      </c>
      <c r="H247" s="18">
        <v>15970</v>
      </c>
      <c r="I247" t="s">
        <v>2339</v>
      </c>
    </row>
    <row r="248" spans="1:9" x14ac:dyDescent="0.25">
      <c r="A248" t="s">
        <v>260</v>
      </c>
      <c r="B248" t="s">
        <v>1421</v>
      </c>
      <c r="C248" t="s">
        <v>10</v>
      </c>
      <c r="D248">
        <v>1149</v>
      </c>
      <c r="E248" s="9">
        <v>2199</v>
      </c>
      <c r="F248">
        <v>48</v>
      </c>
      <c r="G248">
        <v>4.3</v>
      </c>
      <c r="H248" s="18">
        <v>178912</v>
      </c>
      <c r="I248" t="s">
        <v>2339</v>
      </c>
    </row>
    <row r="249" spans="1:9" x14ac:dyDescent="0.25">
      <c r="A249" t="s">
        <v>261</v>
      </c>
      <c r="B249" t="s">
        <v>1422</v>
      </c>
      <c r="C249" t="s">
        <v>10</v>
      </c>
      <c r="D249">
        <v>349</v>
      </c>
      <c r="E249" s="9">
        <v>999</v>
      </c>
      <c r="F249">
        <v>65</v>
      </c>
      <c r="G249">
        <v>3.9</v>
      </c>
      <c r="H249" s="18">
        <v>46399</v>
      </c>
      <c r="I249" t="s">
        <v>2336</v>
      </c>
    </row>
    <row r="250" spans="1:9" x14ac:dyDescent="0.25">
      <c r="A250" t="s">
        <v>262</v>
      </c>
      <c r="B250" t="s">
        <v>1423</v>
      </c>
      <c r="C250" t="s">
        <v>10</v>
      </c>
      <c r="D250">
        <v>1219</v>
      </c>
      <c r="E250" s="9">
        <v>1699</v>
      </c>
      <c r="F250">
        <v>28</v>
      </c>
      <c r="G250">
        <v>4.4000000000000004</v>
      </c>
      <c r="H250" s="18">
        <v>8891</v>
      </c>
      <c r="I250" t="s">
        <v>2336</v>
      </c>
    </row>
    <row r="251" spans="1:9" x14ac:dyDescent="0.25">
      <c r="A251" t="s">
        <v>263</v>
      </c>
      <c r="B251" t="s">
        <v>1424</v>
      </c>
      <c r="C251" t="s">
        <v>10</v>
      </c>
      <c r="D251">
        <v>18499</v>
      </c>
      <c r="E251" s="9">
        <v>25999</v>
      </c>
      <c r="F251">
        <v>29</v>
      </c>
      <c r="G251">
        <v>4.0999999999999996</v>
      </c>
      <c r="H251" s="18">
        <v>22318</v>
      </c>
      <c r="I251" t="s">
        <v>2339</v>
      </c>
    </row>
    <row r="252" spans="1:9" x14ac:dyDescent="0.25">
      <c r="A252" t="s">
        <v>264</v>
      </c>
      <c r="B252" t="s">
        <v>1425</v>
      </c>
      <c r="C252" t="s">
        <v>10</v>
      </c>
      <c r="D252">
        <v>16999</v>
      </c>
      <c r="E252" s="9">
        <v>24999</v>
      </c>
      <c r="F252">
        <v>32</v>
      </c>
      <c r="G252">
        <v>4.0999999999999996</v>
      </c>
      <c r="H252" s="18">
        <v>22318</v>
      </c>
      <c r="I252" t="s">
        <v>2339</v>
      </c>
    </row>
    <row r="253" spans="1:9" x14ac:dyDescent="0.25">
      <c r="A253" t="s">
        <v>265</v>
      </c>
      <c r="B253" t="s">
        <v>1426</v>
      </c>
      <c r="C253" t="s">
        <v>10</v>
      </c>
      <c r="D253">
        <v>16499</v>
      </c>
      <c r="E253" s="9">
        <v>20999</v>
      </c>
      <c r="F253">
        <v>21</v>
      </c>
      <c r="G253">
        <v>4</v>
      </c>
      <c r="H253" s="18">
        <v>21350</v>
      </c>
      <c r="I253" t="s">
        <v>2339</v>
      </c>
    </row>
    <row r="254" spans="1:9" x14ac:dyDescent="0.25">
      <c r="A254" t="s">
        <v>266</v>
      </c>
      <c r="B254" t="s">
        <v>1427</v>
      </c>
      <c r="C254" t="s">
        <v>10</v>
      </c>
      <c r="D254">
        <v>8499</v>
      </c>
      <c r="E254" s="9">
        <v>10999</v>
      </c>
      <c r="F254">
        <v>23</v>
      </c>
      <c r="G254">
        <v>4.0999999999999996</v>
      </c>
      <c r="H254" s="18">
        <v>313836</v>
      </c>
      <c r="I254" t="s">
        <v>2339</v>
      </c>
    </row>
    <row r="255" spans="1:9" x14ac:dyDescent="0.25">
      <c r="A255" t="s">
        <v>267</v>
      </c>
      <c r="B255" t="s">
        <v>1428</v>
      </c>
      <c r="C255" t="s">
        <v>10</v>
      </c>
      <c r="D255">
        <v>6499</v>
      </c>
      <c r="E255" s="9">
        <v>8499</v>
      </c>
      <c r="F255">
        <v>24</v>
      </c>
      <c r="G255">
        <v>4.0999999999999996</v>
      </c>
      <c r="H255" s="18">
        <v>313836</v>
      </c>
      <c r="I255" t="s">
        <v>2339</v>
      </c>
    </row>
    <row r="256" spans="1:9" x14ac:dyDescent="0.25">
      <c r="A256" t="s">
        <v>268</v>
      </c>
      <c r="B256" t="s">
        <v>1429</v>
      </c>
      <c r="C256" t="s">
        <v>10</v>
      </c>
      <c r="D256">
        <v>1799</v>
      </c>
      <c r="E256" s="9">
        <v>19999</v>
      </c>
      <c r="F256">
        <v>91</v>
      </c>
      <c r="G256">
        <v>4.2</v>
      </c>
      <c r="H256" s="18">
        <v>13937</v>
      </c>
      <c r="I256" t="s">
        <v>2339</v>
      </c>
    </row>
    <row r="257" spans="1:9" x14ac:dyDescent="0.25">
      <c r="A257" t="s">
        <v>269</v>
      </c>
      <c r="B257" t="s">
        <v>1430</v>
      </c>
      <c r="C257" t="s">
        <v>10</v>
      </c>
      <c r="D257">
        <v>8999</v>
      </c>
      <c r="E257" s="9">
        <v>11999</v>
      </c>
      <c r="F257">
        <v>25</v>
      </c>
      <c r="G257">
        <v>4</v>
      </c>
      <c r="H257" s="18">
        <v>12796</v>
      </c>
      <c r="I257" t="s">
        <v>2339</v>
      </c>
    </row>
    <row r="258" spans="1:9" x14ac:dyDescent="0.25">
      <c r="A258" t="s">
        <v>270</v>
      </c>
      <c r="B258" t="s">
        <v>1431</v>
      </c>
      <c r="C258" t="s">
        <v>10</v>
      </c>
      <c r="D258">
        <v>139</v>
      </c>
      <c r="E258" s="9">
        <v>495</v>
      </c>
      <c r="F258">
        <v>72</v>
      </c>
      <c r="G258">
        <v>4.3</v>
      </c>
      <c r="H258" s="18">
        <v>14185</v>
      </c>
      <c r="I258" t="s">
        <v>2340</v>
      </c>
    </row>
    <row r="259" spans="1:9" x14ac:dyDescent="0.25">
      <c r="A259" t="s">
        <v>271</v>
      </c>
      <c r="B259" t="s">
        <v>1432</v>
      </c>
      <c r="C259" t="s">
        <v>10</v>
      </c>
      <c r="D259">
        <v>8999</v>
      </c>
      <c r="E259" s="9">
        <v>11999</v>
      </c>
      <c r="F259">
        <v>25</v>
      </c>
      <c r="G259">
        <v>4</v>
      </c>
      <c r="H259" s="18">
        <v>12796</v>
      </c>
      <c r="I259" t="s">
        <v>2339</v>
      </c>
    </row>
    <row r="260" spans="1:9" x14ac:dyDescent="0.25">
      <c r="A260" t="s">
        <v>272</v>
      </c>
      <c r="B260" t="s">
        <v>1433</v>
      </c>
      <c r="C260" t="s">
        <v>10</v>
      </c>
      <c r="D260">
        <v>873</v>
      </c>
      <c r="E260" s="9">
        <v>1699</v>
      </c>
      <c r="F260">
        <v>49</v>
      </c>
      <c r="G260">
        <v>4.4000000000000004</v>
      </c>
      <c r="H260" s="18">
        <v>1680</v>
      </c>
      <c r="I260" t="s">
        <v>2336</v>
      </c>
    </row>
    <row r="261" spans="1:9" x14ac:dyDescent="0.25">
      <c r="A261" t="s">
        <v>273</v>
      </c>
      <c r="B261" t="s">
        <v>1434</v>
      </c>
      <c r="C261" t="s">
        <v>10</v>
      </c>
      <c r="D261">
        <v>12999</v>
      </c>
      <c r="E261" s="9">
        <v>15999</v>
      </c>
      <c r="F261">
        <v>19</v>
      </c>
      <c r="G261">
        <v>4.2</v>
      </c>
      <c r="H261" s="18">
        <v>13246</v>
      </c>
      <c r="I261" t="s">
        <v>2339</v>
      </c>
    </row>
    <row r="262" spans="1:9" x14ac:dyDescent="0.25">
      <c r="A262" t="s">
        <v>274</v>
      </c>
      <c r="B262" t="s">
        <v>1435</v>
      </c>
      <c r="C262" t="s">
        <v>10</v>
      </c>
      <c r="D262">
        <v>539</v>
      </c>
      <c r="E262" s="9">
        <v>1599</v>
      </c>
      <c r="F262">
        <v>66</v>
      </c>
      <c r="G262">
        <v>3.8</v>
      </c>
      <c r="H262" s="18">
        <v>14648</v>
      </c>
      <c r="I262" t="s">
        <v>2336</v>
      </c>
    </row>
    <row r="263" spans="1:9" x14ac:dyDescent="0.25">
      <c r="A263" t="s">
        <v>275</v>
      </c>
      <c r="B263" t="s">
        <v>1436</v>
      </c>
      <c r="C263" t="s">
        <v>10</v>
      </c>
      <c r="D263">
        <v>15490</v>
      </c>
      <c r="E263" s="9">
        <v>20990</v>
      </c>
      <c r="F263">
        <v>26</v>
      </c>
      <c r="G263">
        <v>4.2</v>
      </c>
      <c r="H263" s="18">
        <v>32916</v>
      </c>
      <c r="I263" t="s">
        <v>2339</v>
      </c>
    </row>
    <row r="264" spans="1:9" x14ac:dyDescent="0.25">
      <c r="A264" t="s">
        <v>276</v>
      </c>
      <c r="B264" t="s">
        <v>1437</v>
      </c>
      <c r="C264" t="s">
        <v>10</v>
      </c>
      <c r="D264">
        <v>1075</v>
      </c>
      <c r="E264" s="9">
        <v>1699</v>
      </c>
      <c r="F264">
        <v>37</v>
      </c>
      <c r="G264">
        <v>4.4000000000000004</v>
      </c>
      <c r="H264" s="18">
        <v>7462</v>
      </c>
      <c r="I264" t="s">
        <v>2336</v>
      </c>
    </row>
    <row r="265" spans="1:9" x14ac:dyDescent="0.25">
      <c r="A265" t="s">
        <v>277</v>
      </c>
      <c r="B265" t="s">
        <v>1438</v>
      </c>
      <c r="C265" t="s">
        <v>10</v>
      </c>
      <c r="D265">
        <v>399</v>
      </c>
      <c r="E265" s="9">
        <v>699</v>
      </c>
      <c r="F265">
        <v>43</v>
      </c>
      <c r="G265">
        <v>4</v>
      </c>
      <c r="H265" s="18">
        <v>37817</v>
      </c>
      <c r="I265" t="s">
        <v>2336</v>
      </c>
    </row>
    <row r="266" spans="1:9" x14ac:dyDescent="0.25">
      <c r="A266" t="s">
        <v>278</v>
      </c>
      <c r="B266" t="s">
        <v>1439</v>
      </c>
      <c r="C266" t="s">
        <v>10</v>
      </c>
      <c r="D266">
        <v>28999</v>
      </c>
      <c r="E266" s="9">
        <v>34999</v>
      </c>
      <c r="F266">
        <v>17</v>
      </c>
      <c r="G266">
        <v>4.4000000000000004</v>
      </c>
      <c r="H266" s="18">
        <v>20311</v>
      </c>
      <c r="I266" t="s">
        <v>2339</v>
      </c>
    </row>
    <row r="267" spans="1:9" x14ac:dyDescent="0.25">
      <c r="A267" t="s">
        <v>279</v>
      </c>
      <c r="B267" t="s">
        <v>1440</v>
      </c>
      <c r="C267" t="s">
        <v>10</v>
      </c>
      <c r="D267">
        <v>529</v>
      </c>
      <c r="E267" s="9">
        <v>1499</v>
      </c>
      <c r="F267">
        <v>65</v>
      </c>
      <c r="G267">
        <v>4.0999999999999996</v>
      </c>
      <c r="H267" s="18">
        <v>8599</v>
      </c>
      <c r="I267" t="s">
        <v>2336</v>
      </c>
    </row>
    <row r="268" spans="1:9" x14ac:dyDescent="0.25">
      <c r="A268" t="s">
        <v>280</v>
      </c>
      <c r="B268" t="s">
        <v>1441</v>
      </c>
      <c r="C268" t="s">
        <v>10</v>
      </c>
      <c r="D268">
        <v>13999</v>
      </c>
      <c r="E268" s="9">
        <v>19999</v>
      </c>
      <c r="F268">
        <v>30</v>
      </c>
      <c r="G268">
        <v>4.0999999999999996</v>
      </c>
      <c r="H268" s="18">
        <v>19252</v>
      </c>
      <c r="I268" t="s">
        <v>2339</v>
      </c>
    </row>
    <row r="269" spans="1:9" x14ac:dyDescent="0.25">
      <c r="A269" t="s">
        <v>281</v>
      </c>
      <c r="B269" t="s">
        <v>1442</v>
      </c>
      <c r="C269" t="s">
        <v>10</v>
      </c>
      <c r="D269">
        <v>3999</v>
      </c>
      <c r="E269" s="9">
        <v>9999</v>
      </c>
      <c r="F269">
        <v>60</v>
      </c>
      <c r="G269">
        <v>4.4000000000000004</v>
      </c>
      <c r="H269" s="18">
        <v>73</v>
      </c>
      <c r="I269" t="s">
        <v>2339</v>
      </c>
    </row>
    <row r="270" spans="1:9" x14ac:dyDescent="0.25">
      <c r="A270" t="s">
        <v>282</v>
      </c>
      <c r="B270" t="s">
        <v>1443</v>
      </c>
      <c r="C270" t="s">
        <v>10</v>
      </c>
      <c r="D270">
        <v>99</v>
      </c>
      <c r="E270" s="9">
        <v>499</v>
      </c>
      <c r="F270">
        <v>80</v>
      </c>
      <c r="G270">
        <v>4.3</v>
      </c>
      <c r="H270" s="18">
        <v>42641</v>
      </c>
      <c r="I270" t="s">
        <v>2340</v>
      </c>
    </row>
    <row r="271" spans="1:9" x14ac:dyDescent="0.25">
      <c r="A271" t="s">
        <v>283</v>
      </c>
      <c r="B271" t="s">
        <v>1444</v>
      </c>
      <c r="C271" t="s">
        <v>10</v>
      </c>
      <c r="D271">
        <v>4790</v>
      </c>
      <c r="E271" s="9">
        <v>15990</v>
      </c>
      <c r="F271">
        <v>70</v>
      </c>
      <c r="G271">
        <v>4</v>
      </c>
      <c r="H271" s="18">
        <v>4390</v>
      </c>
      <c r="I271" t="s">
        <v>2339</v>
      </c>
    </row>
    <row r="272" spans="1:9" x14ac:dyDescent="0.25">
      <c r="A272" t="s">
        <v>284</v>
      </c>
      <c r="B272" t="s">
        <v>1445</v>
      </c>
      <c r="C272" t="s">
        <v>10</v>
      </c>
      <c r="D272">
        <v>299</v>
      </c>
      <c r="E272" s="9">
        <v>1900</v>
      </c>
      <c r="F272">
        <v>84</v>
      </c>
      <c r="G272">
        <v>3.6</v>
      </c>
      <c r="H272" s="18">
        <v>18202</v>
      </c>
      <c r="I272" t="s">
        <v>2336</v>
      </c>
    </row>
    <row r="273" spans="1:9" x14ac:dyDescent="0.25">
      <c r="A273" t="s">
        <v>285</v>
      </c>
      <c r="B273" t="s">
        <v>1446</v>
      </c>
      <c r="C273" t="s">
        <v>10</v>
      </c>
      <c r="D273">
        <v>10999</v>
      </c>
      <c r="E273" s="9">
        <v>14999</v>
      </c>
      <c r="F273">
        <v>27</v>
      </c>
      <c r="G273">
        <v>4.0999999999999996</v>
      </c>
      <c r="H273" s="18">
        <v>18998</v>
      </c>
      <c r="I273" t="s">
        <v>2339</v>
      </c>
    </row>
    <row r="274" spans="1:9" x14ac:dyDescent="0.25">
      <c r="A274" t="s">
        <v>286</v>
      </c>
      <c r="B274" t="s">
        <v>1447</v>
      </c>
      <c r="C274" t="s">
        <v>10</v>
      </c>
      <c r="D274">
        <v>34999</v>
      </c>
      <c r="E274" s="9">
        <v>38999</v>
      </c>
      <c r="F274">
        <v>10</v>
      </c>
      <c r="G274">
        <v>4.2</v>
      </c>
      <c r="H274" s="18">
        <v>11029</v>
      </c>
      <c r="I274" t="s">
        <v>2339</v>
      </c>
    </row>
    <row r="275" spans="1:9" x14ac:dyDescent="0.25">
      <c r="A275" t="s">
        <v>287</v>
      </c>
      <c r="B275" t="s">
        <v>1448</v>
      </c>
      <c r="C275" t="s">
        <v>10</v>
      </c>
      <c r="D275">
        <v>199</v>
      </c>
      <c r="E275" s="9">
        <v>499</v>
      </c>
      <c r="F275">
        <v>60</v>
      </c>
      <c r="G275">
        <v>4.0999999999999996</v>
      </c>
      <c r="H275" s="18">
        <v>1786</v>
      </c>
      <c r="I275" t="s">
        <v>2340</v>
      </c>
    </row>
    <row r="276" spans="1:9" x14ac:dyDescent="0.25">
      <c r="A276" t="s">
        <v>288</v>
      </c>
      <c r="B276" t="s">
        <v>1449</v>
      </c>
      <c r="C276" t="s">
        <v>10</v>
      </c>
      <c r="D276">
        <v>999</v>
      </c>
      <c r="E276" s="9">
        <v>1599</v>
      </c>
      <c r="F276">
        <v>38</v>
      </c>
      <c r="G276">
        <v>4</v>
      </c>
      <c r="H276" s="18">
        <v>7222</v>
      </c>
      <c r="I276" t="s">
        <v>2336</v>
      </c>
    </row>
    <row r="277" spans="1:9" x14ac:dyDescent="0.25">
      <c r="A277" t="s">
        <v>289</v>
      </c>
      <c r="B277" t="s">
        <v>1450</v>
      </c>
      <c r="C277" t="s">
        <v>10</v>
      </c>
      <c r="D277">
        <v>1299</v>
      </c>
      <c r="E277" s="9">
        <v>1599</v>
      </c>
      <c r="F277">
        <v>19</v>
      </c>
      <c r="G277">
        <v>4</v>
      </c>
      <c r="H277" s="18">
        <v>128311</v>
      </c>
      <c r="I277" t="s">
        <v>2336</v>
      </c>
    </row>
    <row r="278" spans="1:9" x14ac:dyDescent="0.25">
      <c r="A278" t="s">
        <v>290</v>
      </c>
      <c r="B278" t="s">
        <v>1451</v>
      </c>
      <c r="C278" t="s">
        <v>10</v>
      </c>
      <c r="D278">
        <v>599</v>
      </c>
      <c r="E278" s="9">
        <v>1800</v>
      </c>
      <c r="F278">
        <v>67</v>
      </c>
      <c r="G278">
        <v>3.5</v>
      </c>
      <c r="H278" s="18">
        <v>83996</v>
      </c>
      <c r="I278" t="s">
        <v>2336</v>
      </c>
    </row>
    <row r="279" spans="1:9" x14ac:dyDescent="0.25">
      <c r="A279" t="s">
        <v>291</v>
      </c>
      <c r="B279" t="s">
        <v>1452</v>
      </c>
      <c r="C279" t="s">
        <v>10</v>
      </c>
      <c r="D279">
        <v>599</v>
      </c>
      <c r="E279" s="9">
        <v>1899</v>
      </c>
      <c r="F279">
        <v>68</v>
      </c>
      <c r="G279">
        <v>4.3</v>
      </c>
      <c r="H279" s="18">
        <v>140036</v>
      </c>
      <c r="I279" t="s">
        <v>2336</v>
      </c>
    </row>
    <row r="280" spans="1:9" x14ac:dyDescent="0.25">
      <c r="A280" t="s">
        <v>292</v>
      </c>
      <c r="B280" t="s">
        <v>1453</v>
      </c>
      <c r="C280" t="s">
        <v>10</v>
      </c>
      <c r="D280">
        <v>10999</v>
      </c>
      <c r="E280" s="9">
        <v>14999</v>
      </c>
      <c r="F280">
        <v>27</v>
      </c>
      <c r="G280">
        <v>4.0999999999999996</v>
      </c>
      <c r="H280" s="18">
        <v>18998</v>
      </c>
      <c r="I280" t="s">
        <v>2339</v>
      </c>
    </row>
    <row r="281" spans="1:9" x14ac:dyDescent="0.25">
      <c r="A281" t="s">
        <v>293</v>
      </c>
      <c r="B281" t="s">
        <v>1454</v>
      </c>
      <c r="C281" t="s">
        <v>10</v>
      </c>
      <c r="D281">
        <v>649</v>
      </c>
      <c r="E281" s="9">
        <v>999</v>
      </c>
      <c r="F281">
        <v>35</v>
      </c>
      <c r="G281">
        <v>4.2</v>
      </c>
      <c r="H281" s="18">
        <v>1315</v>
      </c>
      <c r="I281" t="s">
        <v>2336</v>
      </c>
    </row>
    <row r="282" spans="1:9" x14ac:dyDescent="0.25">
      <c r="A282" t="s">
        <v>294</v>
      </c>
      <c r="B282" t="s">
        <v>1455</v>
      </c>
      <c r="C282" t="s">
        <v>10</v>
      </c>
      <c r="D282">
        <v>12999</v>
      </c>
      <c r="E282" s="9">
        <v>17999</v>
      </c>
      <c r="F282">
        <v>28</v>
      </c>
      <c r="G282">
        <v>4.0999999999999996</v>
      </c>
      <c r="H282" s="18">
        <v>50772</v>
      </c>
      <c r="I282" t="s">
        <v>2339</v>
      </c>
    </row>
    <row r="283" spans="1:9" x14ac:dyDescent="0.25">
      <c r="A283" t="s">
        <v>295</v>
      </c>
      <c r="B283" t="s">
        <v>1456</v>
      </c>
      <c r="C283" t="s">
        <v>10</v>
      </c>
      <c r="D283">
        <v>249</v>
      </c>
      <c r="E283" s="9">
        <v>649</v>
      </c>
      <c r="F283">
        <v>62</v>
      </c>
      <c r="G283">
        <v>4</v>
      </c>
      <c r="H283" s="18">
        <v>14404</v>
      </c>
      <c r="I283" t="s">
        <v>2336</v>
      </c>
    </row>
    <row r="284" spans="1:9" x14ac:dyDescent="0.25">
      <c r="A284" t="s">
        <v>296</v>
      </c>
      <c r="B284" t="s">
        <v>1457</v>
      </c>
      <c r="C284" t="s">
        <v>10</v>
      </c>
      <c r="D284">
        <v>99</v>
      </c>
      <c r="E284" s="9">
        <v>171</v>
      </c>
      <c r="F284">
        <v>42</v>
      </c>
      <c r="G284">
        <v>4.5</v>
      </c>
      <c r="H284" s="18">
        <v>11339</v>
      </c>
      <c r="I284" t="s">
        <v>2340</v>
      </c>
    </row>
    <row r="285" spans="1:9" x14ac:dyDescent="0.25">
      <c r="A285" t="s">
        <v>297</v>
      </c>
      <c r="B285" t="s">
        <v>1458</v>
      </c>
      <c r="C285" t="s">
        <v>10</v>
      </c>
      <c r="D285">
        <v>489</v>
      </c>
      <c r="E285" s="9">
        <v>1999</v>
      </c>
      <c r="F285">
        <v>76</v>
      </c>
      <c r="G285">
        <v>4</v>
      </c>
      <c r="H285" s="18">
        <v>3626</v>
      </c>
      <c r="I285" t="s">
        <v>2336</v>
      </c>
    </row>
    <row r="286" spans="1:9" x14ac:dyDescent="0.25">
      <c r="A286" t="s">
        <v>298</v>
      </c>
      <c r="B286" t="s">
        <v>1459</v>
      </c>
      <c r="C286" t="s">
        <v>10</v>
      </c>
      <c r="D286">
        <v>15499</v>
      </c>
      <c r="E286" s="9">
        <v>18999</v>
      </c>
      <c r="F286">
        <v>18</v>
      </c>
      <c r="G286">
        <v>4.0999999999999996</v>
      </c>
      <c r="H286" s="18">
        <v>19252</v>
      </c>
      <c r="I286" t="s">
        <v>2339</v>
      </c>
    </row>
    <row r="287" spans="1:9" x14ac:dyDescent="0.25">
      <c r="A287" t="s">
        <v>299</v>
      </c>
      <c r="B287" t="s">
        <v>1460</v>
      </c>
      <c r="C287" t="s">
        <v>10</v>
      </c>
      <c r="D287">
        <v>22999</v>
      </c>
      <c r="E287" s="9">
        <v>28999</v>
      </c>
      <c r="F287">
        <v>21</v>
      </c>
      <c r="G287">
        <v>3.9</v>
      </c>
      <c r="H287" s="18">
        <v>25824</v>
      </c>
      <c r="I287" t="s">
        <v>2339</v>
      </c>
    </row>
    <row r="288" spans="1:9" x14ac:dyDescent="0.25">
      <c r="A288" t="s">
        <v>300</v>
      </c>
      <c r="B288" t="s">
        <v>1461</v>
      </c>
      <c r="C288" t="s">
        <v>10</v>
      </c>
      <c r="D288">
        <v>599</v>
      </c>
      <c r="E288" s="9">
        <v>1490</v>
      </c>
      <c r="F288">
        <v>60</v>
      </c>
      <c r="G288">
        <v>4.0999999999999996</v>
      </c>
      <c r="H288" s="18">
        <v>161679</v>
      </c>
      <c r="I288" t="s">
        <v>2336</v>
      </c>
    </row>
    <row r="289" spans="1:9" x14ac:dyDescent="0.25">
      <c r="A289" t="s">
        <v>301</v>
      </c>
      <c r="B289" t="s">
        <v>1462</v>
      </c>
      <c r="C289" t="s">
        <v>10</v>
      </c>
      <c r="D289">
        <v>134</v>
      </c>
      <c r="E289" s="9">
        <v>699</v>
      </c>
      <c r="F289">
        <v>81</v>
      </c>
      <c r="G289">
        <v>4.0999999999999996</v>
      </c>
      <c r="H289" s="18">
        <v>16685</v>
      </c>
      <c r="I289" t="s">
        <v>2336</v>
      </c>
    </row>
    <row r="290" spans="1:9" x14ac:dyDescent="0.25">
      <c r="A290" t="s">
        <v>302</v>
      </c>
      <c r="B290" t="s">
        <v>1463</v>
      </c>
      <c r="C290" t="s">
        <v>10</v>
      </c>
      <c r="D290">
        <v>7499</v>
      </c>
      <c r="E290" s="9">
        <v>7999</v>
      </c>
      <c r="F290">
        <v>6</v>
      </c>
      <c r="G290">
        <v>4</v>
      </c>
      <c r="H290" s="18">
        <v>30907</v>
      </c>
      <c r="I290" t="s">
        <v>2339</v>
      </c>
    </row>
    <row r="291" spans="1:9" x14ac:dyDescent="0.25">
      <c r="A291" t="s">
        <v>303</v>
      </c>
      <c r="B291" t="s">
        <v>1464</v>
      </c>
      <c r="C291" t="s">
        <v>10</v>
      </c>
      <c r="D291">
        <v>1149</v>
      </c>
      <c r="E291" s="9">
        <v>2199</v>
      </c>
      <c r="F291">
        <v>48</v>
      </c>
      <c r="G291">
        <v>4.3</v>
      </c>
      <c r="H291" s="18">
        <v>178912</v>
      </c>
      <c r="I291" t="s">
        <v>2339</v>
      </c>
    </row>
    <row r="292" spans="1:9" x14ac:dyDescent="0.25">
      <c r="A292" t="s">
        <v>304</v>
      </c>
      <c r="B292" t="s">
        <v>1465</v>
      </c>
      <c r="C292" t="s">
        <v>10</v>
      </c>
      <c r="D292">
        <v>1324</v>
      </c>
      <c r="E292" s="9">
        <v>1699</v>
      </c>
      <c r="F292">
        <v>22</v>
      </c>
      <c r="G292">
        <v>4</v>
      </c>
      <c r="H292" s="18">
        <v>128311</v>
      </c>
      <c r="I292" t="s">
        <v>2336</v>
      </c>
    </row>
    <row r="293" spans="1:9" x14ac:dyDescent="0.25">
      <c r="A293" t="s">
        <v>305</v>
      </c>
      <c r="B293" t="s">
        <v>1466</v>
      </c>
      <c r="C293" t="s">
        <v>10</v>
      </c>
      <c r="D293">
        <v>12999</v>
      </c>
      <c r="E293" s="9">
        <v>17999</v>
      </c>
      <c r="F293">
        <v>28</v>
      </c>
      <c r="G293">
        <v>4.0999999999999996</v>
      </c>
      <c r="H293" s="18">
        <v>18998</v>
      </c>
      <c r="I293" t="s">
        <v>2339</v>
      </c>
    </row>
    <row r="294" spans="1:9" x14ac:dyDescent="0.25">
      <c r="A294" t="s">
        <v>306</v>
      </c>
      <c r="B294" t="s">
        <v>1467</v>
      </c>
      <c r="C294" t="s">
        <v>10</v>
      </c>
      <c r="D294">
        <v>15490</v>
      </c>
      <c r="E294" s="9">
        <v>20990</v>
      </c>
      <c r="F294">
        <v>26</v>
      </c>
      <c r="G294">
        <v>4.2</v>
      </c>
      <c r="H294" s="18">
        <v>32916</v>
      </c>
      <c r="I294" t="s">
        <v>2339</v>
      </c>
    </row>
    <row r="295" spans="1:9" x14ac:dyDescent="0.25">
      <c r="A295" t="s">
        <v>307</v>
      </c>
      <c r="B295" t="s">
        <v>1468</v>
      </c>
      <c r="C295" t="s">
        <v>10</v>
      </c>
      <c r="D295">
        <v>999</v>
      </c>
      <c r="E295" s="9">
        <v>2899</v>
      </c>
      <c r="F295">
        <v>66</v>
      </c>
      <c r="G295">
        <v>4.5999999999999996</v>
      </c>
      <c r="H295" s="18">
        <v>26603</v>
      </c>
      <c r="I295" t="s">
        <v>2339</v>
      </c>
    </row>
    <row r="296" spans="1:9" x14ac:dyDescent="0.25">
      <c r="A296" t="s">
        <v>308</v>
      </c>
      <c r="B296" t="s">
        <v>1469</v>
      </c>
      <c r="C296" t="s">
        <v>10</v>
      </c>
      <c r="D296">
        <v>20999</v>
      </c>
      <c r="E296" s="9">
        <v>29990</v>
      </c>
      <c r="F296">
        <v>30</v>
      </c>
      <c r="G296">
        <v>4.3</v>
      </c>
      <c r="H296" s="18">
        <v>9499</v>
      </c>
      <c r="I296" t="s">
        <v>2339</v>
      </c>
    </row>
    <row r="297" spans="1:9" x14ac:dyDescent="0.25">
      <c r="A297" t="s">
        <v>309</v>
      </c>
      <c r="B297" t="s">
        <v>1470</v>
      </c>
      <c r="C297" t="s">
        <v>10</v>
      </c>
      <c r="D297">
        <v>999</v>
      </c>
      <c r="E297" s="9">
        <v>1999</v>
      </c>
      <c r="F297">
        <v>50</v>
      </c>
      <c r="G297">
        <v>4.3</v>
      </c>
      <c r="H297" s="18">
        <v>1777</v>
      </c>
      <c r="I297" t="s">
        <v>2336</v>
      </c>
    </row>
    <row r="298" spans="1:9" x14ac:dyDescent="0.25">
      <c r="A298" t="s">
        <v>310</v>
      </c>
      <c r="B298" t="s">
        <v>1471</v>
      </c>
      <c r="C298" t="s">
        <v>10</v>
      </c>
      <c r="D298">
        <v>12490</v>
      </c>
      <c r="E298" s="9">
        <v>15990</v>
      </c>
      <c r="F298">
        <v>22</v>
      </c>
      <c r="G298">
        <v>4.2</v>
      </c>
      <c r="H298" s="18">
        <v>58506</v>
      </c>
      <c r="I298" t="s">
        <v>2339</v>
      </c>
    </row>
    <row r="299" spans="1:9" x14ac:dyDescent="0.25">
      <c r="A299" t="s">
        <v>311</v>
      </c>
      <c r="B299" t="s">
        <v>1472</v>
      </c>
      <c r="C299" t="s">
        <v>10</v>
      </c>
      <c r="D299">
        <v>1399</v>
      </c>
      <c r="E299" s="9">
        <v>1630</v>
      </c>
      <c r="F299">
        <v>14</v>
      </c>
      <c r="G299">
        <v>4</v>
      </c>
      <c r="H299" s="18">
        <v>9378</v>
      </c>
      <c r="I299" t="s">
        <v>2336</v>
      </c>
    </row>
    <row r="300" spans="1:9" x14ac:dyDescent="0.25">
      <c r="A300" t="s">
        <v>1169</v>
      </c>
      <c r="B300" t="s">
        <v>1473</v>
      </c>
      <c r="C300" t="s">
        <v>10</v>
      </c>
      <c r="D300">
        <v>1999</v>
      </c>
      <c r="E300" s="9">
        <v>7990</v>
      </c>
      <c r="F300">
        <v>75</v>
      </c>
      <c r="G300">
        <v>3.8</v>
      </c>
      <c r="H300" s="18">
        <v>17833</v>
      </c>
      <c r="I300" t="s">
        <v>2339</v>
      </c>
    </row>
    <row r="301" spans="1:9" x14ac:dyDescent="0.25">
      <c r="A301" t="s">
        <v>312</v>
      </c>
      <c r="B301" t="s">
        <v>1474</v>
      </c>
      <c r="C301" t="s">
        <v>10</v>
      </c>
      <c r="D301">
        <v>337</v>
      </c>
      <c r="E301" s="9">
        <v>699</v>
      </c>
      <c r="F301">
        <v>52</v>
      </c>
      <c r="G301">
        <v>4.2</v>
      </c>
      <c r="H301" s="18">
        <v>4969</v>
      </c>
      <c r="I301" t="s">
        <v>2336</v>
      </c>
    </row>
    <row r="302" spans="1:9" x14ac:dyDescent="0.25">
      <c r="A302" t="s">
        <v>313</v>
      </c>
      <c r="B302" t="s">
        <v>1475</v>
      </c>
      <c r="C302" t="s">
        <v>10</v>
      </c>
      <c r="D302">
        <v>2999</v>
      </c>
      <c r="E302" s="9">
        <v>7990</v>
      </c>
      <c r="F302">
        <v>62</v>
      </c>
      <c r="G302">
        <v>4.0999999999999996</v>
      </c>
      <c r="H302" s="18">
        <v>154</v>
      </c>
      <c r="I302" t="s">
        <v>2339</v>
      </c>
    </row>
    <row r="303" spans="1:9" x14ac:dyDescent="0.25">
      <c r="A303" t="s">
        <v>314</v>
      </c>
      <c r="B303" t="s">
        <v>1476</v>
      </c>
      <c r="C303" t="s">
        <v>10</v>
      </c>
      <c r="D303">
        <v>16499</v>
      </c>
      <c r="E303" s="9">
        <v>20990</v>
      </c>
      <c r="F303">
        <v>21</v>
      </c>
      <c r="G303">
        <v>4</v>
      </c>
      <c r="H303" s="18">
        <v>21350</v>
      </c>
      <c r="I303" t="s">
        <v>2339</v>
      </c>
    </row>
    <row r="304" spans="1:9" x14ac:dyDescent="0.25">
      <c r="A304" t="s">
        <v>315</v>
      </c>
      <c r="B304" t="s">
        <v>1477</v>
      </c>
      <c r="C304" t="s">
        <v>10</v>
      </c>
      <c r="D304">
        <v>499</v>
      </c>
      <c r="E304" s="9">
        <v>499</v>
      </c>
      <c r="F304">
        <v>0</v>
      </c>
      <c r="G304">
        <v>4.2</v>
      </c>
      <c r="H304" s="18">
        <v>31539</v>
      </c>
      <c r="I304" t="s">
        <v>2340</v>
      </c>
    </row>
    <row r="305" spans="1:9" x14ac:dyDescent="0.25">
      <c r="A305" t="s">
        <v>316</v>
      </c>
      <c r="B305" t="s">
        <v>1478</v>
      </c>
      <c r="C305" t="s">
        <v>10</v>
      </c>
      <c r="D305">
        <v>251</v>
      </c>
      <c r="E305" s="9">
        <v>999</v>
      </c>
      <c r="F305">
        <v>75</v>
      </c>
      <c r="G305">
        <v>3.7</v>
      </c>
      <c r="H305" s="18">
        <v>3234</v>
      </c>
      <c r="I305" t="s">
        <v>2336</v>
      </c>
    </row>
    <row r="306" spans="1:9" x14ac:dyDescent="0.25">
      <c r="A306" t="s">
        <v>317</v>
      </c>
      <c r="B306" t="s">
        <v>1479</v>
      </c>
      <c r="C306" t="s">
        <v>10</v>
      </c>
      <c r="D306">
        <v>6499</v>
      </c>
      <c r="E306" s="9">
        <v>7999</v>
      </c>
      <c r="F306">
        <v>19</v>
      </c>
      <c r="G306">
        <v>4.0999999999999996</v>
      </c>
      <c r="H306" s="18">
        <v>313832</v>
      </c>
      <c r="I306" t="s">
        <v>2339</v>
      </c>
    </row>
    <row r="307" spans="1:9" x14ac:dyDescent="0.25">
      <c r="A307" t="s">
        <v>318</v>
      </c>
      <c r="B307" t="s">
        <v>1480</v>
      </c>
      <c r="C307" t="s">
        <v>10</v>
      </c>
      <c r="D307">
        <v>279</v>
      </c>
      <c r="E307" s="9">
        <v>1499</v>
      </c>
      <c r="F307">
        <v>81</v>
      </c>
      <c r="G307">
        <v>4.2</v>
      </c>
      <c r="H307" s="18">
        <v>2646</v>
      </c>
      <c r="I307" t="s">
        <v>2336</v>
      </c>
    </row>
    <row r="308" spans="1:9" x14ac:dyDescent="0.25">
      <c r="A308" t="s">
        <v>319</v>
      </c>
      <c r="B308" t="s">
        <v>1481</v>
      </c>
      <c r="C308" t="s">
        <v>10</v>
      </c>
      <c r="D308">
        <v>269</v>
      </c>
      <c r="E308" s="9">
        <v>1499</v>
      </c>
      <c r="F308">
        <v>82</v>
      </c>
      <c r="G308">
        <v>4.5</v>
      </c>
      <c r="H308" s="18">
        <v>28978</v>
      </c>
      <c r="I308" t="s">
        <v>2336</v>
      </c>
    </row>
    <row r="309" spans="1:9" x14ac:dyDescent="0.25">
      <c r="A309" t="s">
        <v>320</v>
      </c>
      <c r="B309" t="s">
        <v>1482</v>
      </c>
      <c r="C309" t="s">
        <v>10</v>
      </c>
      <c r="D309">
        <v>8999</v>
      </c>
      <c r="E309" s="9">
        <v>13499</v>
      </c>
      <c r="F309">
        <v>33</v>
      </c>
      <c r="G309">
        <v>3.8</v>
      </c>
      <c r="H309" s="18">
        <v>3145</v>
      </c>
      <c r="I309" t="s">
        <v>2339</v>
      </c>
    </row>
    <row r="310" spans="1:9" x14ac:dyDescent="0.25">
      <c r="A310" t="s">
        <v>321</v>
      </c>
      <c r="B310" t="s">
        <v>1483</v>
      </c>
      <c r="C310" t="s">
        <v>10</v>
      </c>
      <c r="D310">
        <v>599</v>
      </c>
      <c r="E310" s="9">
        <v>1299</v>
      </c>
      <c r="F310">
        <v>54</v>
      </c>
      <c r="G310">
        <v>4.0999999999999996</v>
      </c>
      <c r="H310" s="18">
        <v>192589</v>
      </c>
      <c r="I310" t="s">
        <v>2336</v>
      </c>
    </row>
    <row r="311" spans="1:9" x14ac:dyDescent="0.25">
      <c r="A311" t="s">
        <v>322</v>
      </c>
      <c r="B311" t="s">
        <v>1484</v>
      </c>
      <c r="C311" t="s">
        <v>10</v>
      </c>
      <c r="D311">
        <v>13999</v>
      </c>
      <c r="E311" s="9">
        <v>19499</v>
      </c>
      <c r="F311">
        <v>28</v>
      </c>
      <c r="G311">
        <v>4.0999999999999996</v>
      </c>
      <c r="H311" s="18">
        <v>18998</v>
      </c>
      <c r="I311" t="s">
        <v>2339</v>
      </c>
    </row>
    <row r="312" spans="1:9" x14ac:dyDescent="0.25">
      <c r="A312" t="s">
        <v>323</v>
      </c>
      <c r="B312" t="s">
        <v>1485</v>
      </c>
      <c r="C312" t="s">
        <v>10</v>
      </c>
      <c r="D312">
        <v>349</v>
      </c>
      <c r="E312" s="9">
        <v>999</v>
      </c>
      <c r="F312">
        <v>65</v>
      </c>
      <c r="G312">
        <v>3.8</v>
      </c>
      <c r="H312" s="18">
        <v>16557</v>
      </c>
      <c r="I312" t="s">
        <v>2336</v>
      </c>
    </row>
    <row r="313" spans="1:9" x14ac:dyDescent="0.25">
      <c r="A313" t="s">
        <v>324</v>
      </c>
      <c r="B313" t="s">
        <v>1486</v>
      </c>
      <c r="C313" t="s">
        <v>10</v>
      </c>
      <c r="D313">
        <v>499</v>
      </c>
      <c r="E313" s="9">
        <v>599</v>
      </c>
      <c r="F313">
        <v>17</v>
      </c>
      <c r="G313">
        <v>4.2</v>
      </c>
      <c r="H313" s="18">
        <v>21916</v>
      </c>
      <c r="I313" t="s">
        <v>2336</v>
      </c>
    </row>
    <row r="314" spans="1:9" x14ac:dyDescent="0.25">
      <c r="A314" t="s">
        <v>325</v>
      </c>
      <c r="B314" t="s">
        <v>1487</v>
      </c>
      <c r="C314" t="s">
        <v>10</v>
      </c>
      <c r="D314">
        <v>4499</v>
      </c>
      <c r="E314" s="9">
        <v>7999</v>
      </c>
      <c r="F314">
        <v>44</v>
      </c>
      <c r="G314">
        <v>3.5</v>
      </c>
      <c r="H314" s="18">
        <v>37</v>
      </c>
      <c r="I314" t="s">
        <v>2339</v>
      </c>
    </row>
    <row r="315" spans="1:9" x14ac:dyDescent="0.25">
      <c r="A315" t="s">
        <v>326</v>
      </c>
      <c r="B315" t="s">
        <v>1488</v>
      </c>
      <c r="C315" t="s">
        <v>10</v>
      </c>
      <c r="D315">
        <v>89</v>
      </c>
      <c r="E315" s="9">
        <v>599</v>
      </c>
      <c r="F315">
        <v>85</v>
      </c>
      <c r="G315">
        <v>4.3</v>
      </c>
      <c r="H315" s="18">
        <v>2351</v>
      </c>
      <c r="I315" t="s">
        <v>2336</v>
      </c>
    </row>
    <row r="316" spans="1:9" x14ac:dyDescent="0.25">
      <c r="A316" t="s">
        <v>327</v>
      </c>
      <c r="B316" t="s">
        <v>1489</v>
      </c>
      <c r="C316" t="s">
        <v>10</v>
      </c>
      <c r="D316">
        <v>13999</v>
      </c>
      <c r="E316" s="9">
        <v>15999</v>
      </c>
      <c r="F316">
        <v>13</v>
      </c>
      <c r="G316">
        <v>3.9</v>
      </c>
      <c r="H316" s="18">
        <v>2180</v>
      </c>
      <c r="I316" t="s">
        <v>2339</v>
      </c>
    </row>
    <row r="317" spans="1:9" x14ac:dyDescent="0.25">
      <c r="A317" t="s">
        <v>328</v>
      </c>
      <c r="B317" t="s">
        <v>1490</v>
      </c>
      <c r="C317" t="s">
        <v>10</v>
      </c>
      <c r="D317">
        <v>1399</v>
      </c>
      <c r="E317" s="9">
        <v>5999</v>
      </c>
      <c r="F317">
        <v>77</v>
      </c>
      <c r="G317">
        <v>3.3</v>
      </c>
      <c r="H317" s="18">
        <v>4415</v>
      </c>
      <c r="I317" t="s">
        <v>2339</v>
      </c>
    </row>
    <row r="318" spans="1:9" x14ac:dyDescent="0.25">
      <c r="A318" t="s">
        <v>329</v>
      </c>
      <c r="B318" t="s">
        <v>1491</v>
      </c>
      <c r="C318" t="s">
        <v>10</v>
      </c>
      <c r="D318">
        <v>599</v>
      </c>
      <c r="E318" s="9">
        <v>999</v>
      </c>
      <c r="F318">
        <v>40</v>
      </c>
      <c r="G318">
        <v>4</v>
      </c>
      <c r="H318" s="18">
        <v>18654</v>
      </c>
      <c r="I318" t="s">
        <v>2336</v>
      </c>
    </row>
    <row r="319" spans="1:9" x14ac:dyDescent="0.25">
      <c r="A319" t="s">
        <v>330</v>
      </c>
      <c r="B319" t="s">
        <v>1492</v>
      </c>
      <c r="C319" t="s">
        <v>10</v>
      </c>
      <c r="D319">
        <v>199</v>
      </c>
      <c r="E319" s="9">
        <v>1099</v>
      </c>
      <c r="F319">
        <v>82</v>
      </c>
      <c r="G319">
        <v>4</v>
      </c>
      <c r="H319" s="18">
        <v>3197</v>
      </c>
      <c r="I319" t="s">
        <v>2336</v>
      </c>
    </row>
    <row r="320" spans="1:9" x14ac:dyDescent="0.25">
      <c r="A320" t="s">
        <v>331</v>
      </c>
      <c r="B320" t="s">
        <v>1493</v>
      </c>
      <c r="C320" t="s">
        <v>10</v>
      </c>
      <c r="D320">
        <v>1499</v>
      </c>
      <c r="E320" s="9">
        <v>6990</v>
      </c>
      <c r="F320">
        <v>79</v>
      </c>
      <c r="G320">
        <v>3.9</v>
      </c>
      <c r="H320" s="18">
        <v>21796</v>
      </c>
      <c r="I320" t="s">
        <v>2339</v>
      </c>
    </row>
    <row r="321" spans="1:9" x14ac:dyDescent="0.25">
      <c r="A321" t="s">
        <v>332</v>
      </c>
      <c r="B321" t="s">
        <v>1494</v>
      </c>
      <c r="C321" t="s">
        <v>10</v>
      </c>
      <c r="D321">
        <v>12999</v>
      </c>
      <c r="E321" s="9">
        <v>13499</v>
      </c>
      <c r="F321">
        <v>4</v>
      </c>
      <c r="G321">
        <v>4.0999999999999996</v>
      </c>
      <c r="H321" s="18">
        <v>56098</v>
      </c>
      <c r="I321" t="s">
        <v>2339</v>
      </c>
    </row>
    <row r="322" spans="1:9" x14ac:dyDescent="0.25">
      <c r="A322" t="s">
        <v>333</v>
      </c>
      <c r="B322" t="s">
        <v>1495</v>
      </c>
      <c r="C322" t="s">
        <v>10</v>
      </c>
      <c r="D322">
        <v>16999</v>
      </c>
      <c r="E322" s="9">
        <v>20999</v>
      </c>
      <c r="F322">
        <v>19</v>
      </c>
      <c r="G322">
        <v>4.0999999999999996</v>
      </c>
      <c r="H322" s="18">
        <v>31822</v>
      </c>
      <c r="I322" t="s">
        <v>2339</v>
      </c>
    </row>
    <row r="323" spans="1:9" x14ac:dyDescent="0.25">
      <c r="A323" t="s">
        <v>334</v>
      </c>
      <c r="B323" t="s">
        <v>1496</v>
      </c>
      <c r="C323" t="s">
        <v>10</v>
      </c>
      <c r="D323">
        <v>2999</v>
      </c>
      <c r="E323" s="9">
        <v>5999</v>
      </c>
      <c r="F323">
        <v>50</v>
      </c>
      <c r="G323">
        <v>4.0999999999999996</v>
      </c>
      <c r="H323" s="18">
        <v>7148</v>
      </c>
      <c r="I323" t="s">
        <v>2339</v>
      </c>
    </row>
    <row r="324" spans="1:9" x14ac:dyDescent="0.25">
      <c r="A324" t="s">
        <v>335</v>
      </c>
      <c r="B324" t="s">
        <v>1497</v>
      </c>
      <c r="C324" t="s">
        <v>10</v>
      </c>
      <c r="D324">
        <v>329</v>
      </c>
      <c r="E324" s="9">
        <v>999</v>
      </c>
      <c r="F324">
        <v>67</v>
      </c>
      <c r="G324">
        <v>4.2</v>
      </c>
      <c r="H324" s="18">
        <v>3492</v>
      </c>
      <c r="I324" t="s">
        <v>2336</v>
      </c>
    </row>
    <row r="325" spans="1:9" x14ac:dyDescent="0.25">
      <c r="A325" t="s">
        <v>336</v>
      </c>
      <c r="B325" t="s">
        <v>1498</v>
      </c>
      <c r="C325" t="s">
        <v>10</v>
      </c>
      <c r="D325">
        <v>16999</v>
      </c>
      <c r="E325" s="9">
        <v>20999</v>
      </c>
      <c r="F325">
        <v>19</v>
      </c>
      <c r="G325">
        <v>4.0999999999999996</v>
      </c>
      <c r="H325" s="18">
        <v>31822</v>
      </c>
      <c r="I325" t="s">
        <v>2339</v>
      </c>
    </row>
    <row r="326" spans="1:9" x14ac:dyDescent="0.25">
      <c r="A326" t="s">
        <v>337</v>
      </c>
      <c r="B326" t="s">
        <v>1499</v>
      </c>
      <c r="C326" t="s">
        <v>10</v>
      </c>
      <c r="D326">
        <v>1999</v>
      </c>
      <c r="E326" s="9">
        <v>8499</v>
      </c>
      <c r="F326">
        <v>76</v>
      </c>
      <c r="G326">
        <v>4.3</v>
      </c>
      <c r="H326" s="18">
        <v>240</v>
      </c>
      <c r="I326" t="s">
        <v>2339</v>
      </c>
    </row>
    <row r="327" spans="1:9" x14ac:dyDescent="0.25">
      <c r="A327" t="s">
        <v>1170</v>
      </c>
      <c r="B327" t="s">
        <v>1500</v>
      </c>
      <c r="C327" t="s">
        <v>10</v>
      </c>
      <c r="D327">
        <v>4999</v>
      </c>
      <c r="E327" s="9">
        <v>6999</v>
      </c>
      <c r="F327">
        <v>29</v>
      </c>
      <c r="G327">
        <v>3.8</v>
      </c>
      <c r="H327" s="18">
        <v>758</v>
      </c>
      <c r="I327" t="s">
        <v>2339</v>
      </c>
    </row>
    <row r="328" spans="1:9" x14ac:dyDescent="0.25">
      <c r="A328" t="s">
        <v>338</v>
      </c>
      <c r="B328" t="s">
        <v>1501</v>
      </c>
      <c r="C328" t="s">
        <v>10</v>
      </c>
      <c r="D328">
        <v>2499</v>
      </c>
      <c r="E328" s="9">
        <v>5999</v>
      </c>
      <c r="F328">
        <v>58</v>
      </c>
      <c r="G328">
        <v>3.7</v>
      </c>
      <c r="H328" s="18">
        <v>828</v>
      </c>
      <c r="I328" t="s">
        <v>2339</v>
      </c>
    </row>
    <row r="329" spans="1:9" x14ac:dyDescent="0.25">
      <c r="A329" t="s">
        <v>1171</v>
      </c>
      <c r="B329" t="s">
        <v>1502</v>
      </c>
      <c r="C329" t="s">
        <v>10</v>
      </c>
      <c r="D329">
        <v>249</v>
      </c>
      <c r="E329" s="9">
        <v>599</v>
      </c>
      <c r="F329">
        <v>58</v>
      </c>
      <c r="G329">
        <v>3.9</v>
      </c>
      <c r="H329" s="18">
        <v>2147</v>
      </c>
      <c r="I329" t="s">
        <v>2336</v>
      </c>
    </row>
    <row r="330" spans="1:9" x14ac:dyDescent="0.25">
      <c r="A330" t="s">
        <v>339</v>
      </c>
      <c r="B330" t="s">
        <v>1503</v>
      </c>
      <c r="C330" t="s">
        <v>10</v>
      </c>
      <c r="D330">
        <v>299</v>
      </c>
      <c r="E330" s="9">
        <v>1199</v>
      </c>
      <c r="F330">
        <v>75</v>
      </c>
      <c r="G330">
        <v>4.5</v>
      </c>
      <c r="H330" s="18">
        <v>596</v>
      </c>
      <c r="I330" t="s">
        <v>2336</v>
      </c>
    </row>
    <row r="331" spans="1:9" x14ac:dyDescent="0.25">
      <c r="A331" t="s">
        <v>340</v>
      </c>
      <c r="B331" t="s">
        <v>1504</v>
      </c>
      <c r="C331" t="s">
        <v>10</v>
      </c>
      <c r="D331">
        <v>79</v>
      </c>
      <c r="E331" s="9">
        <v>499</v>
      </c>
      <c r="F331">
        <v>84</v>
      </c>
      <c r="G331">
        <v>4.2</v>
      </c>
      <c r="H331" s="18">
        <v>1949</v>
      </c>
      <c r="I331" t="s">
        <v>2340</v>
      </c>
    </row>
    <row r="332" spans="1:9" x14ac:dyDescent="0.25">
      <c r="A332" t="s">
        <v>341</v>
      </c>
      <c r="B332" t="s">
        <v>1505</v>
      </c>
      <c r="C332" t="s">
        <v>10</v>
      </c>
      <c r="D332">
        <v>13999</v>
      </c>
      <c r="E332" s="9">
        <v>15999</v>
      </c>
      <c r="F332">
        <v>13</v>
      </c>
      <c r="G332">
        <v>3.9</v>
      </c>
      <c r="H332" s="18">
        <v>2180</v>
      </c>
      <c r="I332" t="s">
        <v>2339</v>
      </c>
    </row>
    <row r="333" spans="1:9" x14ac:dyDescent="0.25">
      <c r="A333" t="s">
        <v>342</v>
      </c>
      <c r="B333" t="s">
        <v>1506</v>
      </c>
      <c r="C333" t="s">
        <v>10</v>
      </c>
      <c r="D333">
        <v>949</v>
      </c>
      <c r="E333" s="9">
        <v>999</v>
      </c>
      <c r="F333">
        <v>5</v>
      </c>
      <c r="G333">
        <v>4.2</v>
      </c>
      <c r="H333" s="18">
        <v>31539</v>
      </c>
      <c r="I333" t="s">
        <v>2336</v>
      </c>
    </row>
    <row r="334" spans="1:9" x14ac:dyDescent="0.25">
      <c r="A334" t="s">
        <v>343</v>
      </c>
      <c r="B334" t="s">
        <v>1507</v>
      </c>
      <c r="C334" t="s">
        <v>10</v>
      </c>
      <c r="D334">
        <v>99</v>
      </c>
      <c r="E334" s="9">
        <v>499</v>
      </c>
      <c r="F334">
        <v>80</v>
      </c>
      <c r="G334">
        <v>4.0999999999999996</v>
      </c>
      <c r="H334" s="18">
        <v>2451</v>
      </c>
      <c r="I334" t="s">
        <v>2340</v>
      </c>
    </row>
    <row r="335" spans="1:9" x14ac:dyDescent="0.25">
      <c r="A335" t="s">
        <v>344</v>
      </c>
      <c r="B335" t="s">
        <v>1508</v>
      </c>
      <c r="C335" t="s">
        <v>10</v>
      </c>
      <c r="D335">
        <v>689</v>
      </c>
      <c r="E335" s="9">
        <v>1999</v>
      </c>
      <c r="F335">
        <v>66</v>
      </c>
      <c r="G335">
        <v>4.3</v>
      </c>
      <c r="H335" s="18">
        <v>1193</v>
      </c>
      <c r="I335" t="s">
        <v>2336</v>
      </c>
    </row>
    <row r="336" spans="1:9" x14ac:dyDescent="0.25">
      <c r="A336" t="s">
        <v>345</v>
      </c>
      <c r="B336" t="s">
        <v>1509</v>
      </c>
      <c r="C336" t="s">
        <v>10</v>
      </c>
      <c r="D336">
        <v>499</v>
      </c>
      <c r="E336" s="9">
        <v>1899</v>
      </c>
      <c r="F336">
        <v>74</v>
      </c>
      <c r="G336">
        <v>4.0999999999999996</v>
      </c>
      <c r="H336" s="18">
        <v>1475</v>
      </c>
      <c r="I336" t="s">
        <v>2336</v>
      </c>
    </row>
    <row r="337" spans="1:9" x14ac:dyDescent="0.25">
      <c r="A337" t="s">
        <v>346</v>
      </c>
      <c r="B337" t="s">
        <v>1510</v>
      </c>
      <c r="C337" t="s">
        <v>10</v>
      </c>
      <c r="D337">
        <v>299</v>
      </c>
      <c r="E337" s="9">
        <v>999</v>
      </c>
      <c r="F337">
        <v>70</v>
      </c>
      <c r="G337">
        <v>4.3</v>
      </c>
      <c r="H337" s="18">
        <v>8891</v>
      </c>
      <c r="I337" t="s">
        <v>2336</v>
      </c>
    </row>
    <row r="338" spans="1:9" x14ac:dyDescent="0.25">
      <c r="A338" t="s">
        <v>347</v>
      </c>
      <c r="B338" t="s">
        <v>1511</v>
      </c>
      <c r="C338" t="s">
        <v>10</v>
      </c>
      <c r="D338">
        <v>209</v>
      </c>
      <c r="E338" s="9">
        <v>499</v>
      </c>
      <c r="F338">
        <v>58</v>
      </c>
      <c r="G338">
        <v>3.6</v>
      </c>
      <c r="H338" s="18">
        <v>104</v>
      </c>
      <c r="I338" t="s">
        <v>2340</v>
      </c>
    </row>
    <row r="339" spans="1:9" x14ac:dyDescent="0.25">
      <c r="A339" t="s">
        <v>348</v>
      </c>
      <c r="B339" t="s">
        <v>1512</v>
      </c>
      <c r="C339" t="s">
        <v>10</v>
      </c>
      <c r="D339">
        <v>8499</v>
      </c>
      <c r="E339" s="9">
        <v>12999</v>
      </c>
      <c r="F339">
        <v>35</v>
      </c>
      <c r="G339">
        <v>4.0999999999999996</v>
      </c>
      <c r="H339" s="18">
        <v>6662</v>
      </c>
      <c r="I339" t="s">
        <v>2339</v>
      </c>
    </row>
    <row r="340" spans="1:9" x14ac:dyDescent="0.25">
      <c r="A340" t="s">
        <v>349</v>
      </c>
      <c r="B340" t="s">
        <v>1513</v>
      </c>
      <c r="C340" t="s">
        <v>10</v>
      </c>
      <c r="D340">
        <v>2179</v>
      </c>
      <c r="E340" s="9">
        <v>3999</v>
      </c>
      <c r="F340">
        <v>46</v>
      </c>
      <c r="G340">
        <v>4</v>
      </c>
      <c r="H340" s="18">
        <v>8380</v>
      </c>
      <c r="I340" t="s">
        <v>2339</v>
      </c>
    </row>
    <row r="341" spans="1:9" x14ac:dyDescent="0.25">
      <c r="A341" t="s">
        <v>350</v>
      </c>
      <c r="B341" t="s">
        <v>1514</v>
      </c>
      <c r="C341" t="s">
        <v>10</v>
      </c>
      <c r="D341">
        <v>16999</v>
      </c>
      <c r="E341" s="9">
        <v>20999</v>
      </c>
      <c r="F341">
        <v>19</v>
      </c>
      <c r="G341">
        <v>4.0999999999999996</v>
      </c>
      <c r="H341" s="18">
        <v>31822</v>
      </c>
      <c r="I341" t="s">
        <v>2339</v>
      </c>
    </row>
    <row r="342" spans="1:9" x14ac:dyDescent="0.25">
      <c r="A342" t="s">
        <v>351</v>
      </c>
      <c r="B342" t="s">
        <v>1515</v>
      </c>
      <c r="C342" t="s">
        <v>10</v>
      </c>
      <c r="D342">
        <v>44999</v>
      </c>
      <c r="E342" s="9">
        <v>49999</v>
      </c>
      <c r="F342">
        <v>10</v>
      </c>
      <c r="G342">
        <v>4.3</v>
      </c>
      <c r="H342" s="18">
        <v>3075</v>
      </c>
      <c r="I342" t="s">
        <v>2339</v>
      </c>
    </row>
    <row r="343" spans="1:9" x14ac:dyDescent="0.25">
      <c r="A343" t="s">
        <v>352</v>
      </c>
      <c r="B343" t="s">
        <v>353</v>
      </c>
      <c r="C343" t="s">
        <v>10</v>
      </c>
      <c r="D343">
        <v>2599</v>
      </c>
      <c r="E343" s="9">
        <v>2999</v>
      </c>
      <c r="F343">
        <v>13</v>
      </c>
      <c r="G343">
        <v>3.9</v>
      </c>
      <c r="H343" s="18">
        <v>14266</v>
      </c>
      <c r="I343" t="s">
        <v>2339</v>
      </c>
    </row>
    <row r="344" spans="1:9" x14ac:dyDescent="0.25">
      <c r="A344" t="s">
        <v>354</v>
      </c>
      <c r="B344" t="s">
        <v>1516</v>
      </c>
      <c r="C344" t="s">
        <v>10</v>
      </c>
      <c r="D344">
        <v>2799</v>
      </c>
      <c r="E344" s="9">
        <v>6499</v>
      </c>
      <c r="F344">
        <v>57</v>
      </c>
      <c r="G344">
        <v>4.0999999999999996</v>
      </c>
      <c r="H344" s="18">
        <v>38879</v>
      </c>
      <c r="I344" t="s">
        <v>2339</v>
      </c>
    </row>
    <row r="345" spans="1:9" x14ac:dyDescent="0.25">
      <c r="A345" t="s">
        <v>355</v>
      </c>
      <c r="B345" t="s">
        <v>1517</v>
      </c>
      <c r="C345" t="s">
        <v>10</v>
      </c>
      <c r="D345">
        <v>649</v>
      </c>
      <c r="E345" s="9">
        <v>2400</v>
      </c>
      <c r="F345">
        <v>73</v>
      </c>
      <c r="G345">
        <v>4.4000000000000004</v>
      </c>
      <c r="H345" s="18">
        <v>67260</v>
      </c>
      <c r="I345" t="s">
        <v>2339</v>
      </c>
    </row>
    <row r="346" spans="1:9" x14ac:dyDescent="0.25">
      <c r="A346" t="s">
        <v>356</v>
      </c>
      <c r="B346" t="s">
        <v>1518</v>
      </c>
      <c r="C346" t="s">
        <v>10</v>
      </c>
      <c r="D346">
        <v>799</v>
      </c>
      <c r="E346" s="9">
        <v>3990</v>
      </c>
      <c r="F346">
        <v>80</v>
      </c>
      <c r="G346">
        <v>3.8</v>
      </c>
      <c r="H346" s="18">
        <v>119</v>
      </c>
      <c r="I346" t="s">
        <v>2339</v>
      </c>
    </row>
    <row r="347" spans="1:9" x14ac:dyDescent="0.25">
      <c r="A347" t="s">
        <v>357</v>
      </c>
      <c r="B347" t="s">
        <v>1519</v>
      </c>
      <c r="C347" t="s">
        <v>10</v>
      </c>
      <c r="D347">
        <v>3799</v>
      </c>
      <c r="E347" s="9">
        <v>5299</v>
      </c>
      <c r="F347">
        <v>28</v>
      </c>
      <c r="G347">
        <v>3.5</v>
      </c>
      <c r="H347" s="18">
        <v>1641</v>
      </c>
      <c r="I347" t="s">
        <v>2339</v>
      </c>
    </row>
    <row r="348" spans="1:9" x14ac:dyDescent="0.25">
      <c r="A348" t="s">
        <v>358</v>
      </c>
      <c r="B348" t="s">
        <v>1520</v>
      </c>
      <c r="C348" t="s">
        <v>10</v>
      </c>
      <c r="D348">
        <v>199</v>
      </c>
      <c r="E348" s="9">
        <v>1899</v>
      </c>
      <c r="F348">
        <v>90</v>
      </c>
      <c r="G348">
        <v>4</v>
      </c>
      <c r="H348" s="18">
        <v>4740</v>
      </c>
      <c r="I348" t="s">
        <v>2336</v>
      </c>
    </row>
    <row r="349" spans="1:9" x14ac:dyDescent="0.25">
      <c r="A349" t="s">
        <v>359</v>
      </c>
      <c r="B349" t="s">
        <v>1521</v>
      </c>
      <c r="C349" t="s">
        <v>10</v>
      </c>
      <c r="D349">
        <v>23999</v>
      </c>
      <c r="E349" s="9">
        <v>32999</v>
      </c>
      <c r="F349">
        <v>27</v>
      </c>
      <c r="G349">
        <v>3.9</v>
      </c>
      <c r="H349" s="18">
        <v>8866</v>
      </c>
      <c r="I349" t="s">
        <v>2339</v>
      </c>
    </row>
    <row r="350" spans="1:9" x14ac:dyDescent="0.25">
      <c r="A350" t="s">
        <v>360</v>
      </c>
      <c r="B350" t="s">
        <v>1522</v>
      </c>
      <c r="C350" t="s">
        <v>10</v>
      </c>
      <c r="D350">
        <v>29990</v>
      </c>
      <c r="E350" s="9">
        <v>39990</v>
      </c>
      <c r="F350">
        <v>25</v>
      </c>
      <c r="G350">
        <v>4.3</v>
      </c>
      <c r="H350" s="18">
        <v>8399</v>
      </c>
      <c r="I350" t="s">
        <v>2339</v>
      </c>
    </row>
    <row r="351" spans="1:9" x14ac:dyDescent="0.25">
      <c r="A351" t="s">
        <v>361</v>
      </c>
      <c r="B351" t="s">
        <v>1523</v>
      </c>
      <c r="C351" t="s">
        <v>10</v>
      </c>
      <c r="D351">
        <v>281</v>
      </c>
      <c r="E351" s="9">
        <v>1999</v>
      </c>
      <c r="F351">
        <v>86</v>
      </c>
      <c r="G351">
        <v>2.8</v>
      </c>
      <c r="H351" s="18">
        <v>87</v>
      </c>
      <c r="I351" t="s">
        <v>2336</v>
      </c>
    </row>
    <row r="352" spans="1:9" x14ac:dyDescent="0.25">
      <c r="A352" t="s">
        <v>362</v>
      </c>
      <c r="B352" t="s">
        <v>1524</v>
      </c>
      <c r="C352" t="s">
        <v>10</v>
      </c>
      <c r="D352">
        <v>7998</v>
      </c>
      <c r="E352" s="9">
        <v>11999</v>
      </c>
      <c r="F352">
        <v>33</v>
      </c>
      <c r="G352">
        <v>3.8</v>
      </c>
      <c r="H352" s="18">
        <v>125</v>
      </c>
      <c r="I352" t="s">
        <v>2339</v>
      </c>
    </row>
    <row r="353" spans="1:9" x14ac:dyDescent="0.25">
      <c r="A353" t="s">
        <v>363</v>
      </c>
      <c r="B353" t="s">
        <v>1525</v>
      </c>
      <c r="C353" t="s">
        <v>10</v>
      </c>
      <c r="D353">
        <v>249</v>
      </c>
      <c r="E353" s="9">
        <v>999</v>
      </c>
      <c r="F353">
        <v>75</v>
      </c>
      <c r="G353">
        <v>4.5</v>
      </c>
      <c r="H353" s="18">
        <v>38</v>
      </c>
      <c r="I353" t="s">
        <v>2336</v>
      </c>
    </row>
    <row r="354" spans="1:9" x14ac:dyDescent="0.25">
      <c r="A354" t="s">
        <v>364</v>
      </c>
      <c r="B354" t="s">
        <v>1526</v>
      </c>
      <c r="C354" t="s">
        <v>10</v>
      </c>
      <c r="D354">
        <v>299</v>
      </c>
      <c r="E354" s="9">
        <v>599</v>
      </c>
      <c r="F354">
        <v>50</v>
      </c>
      <c r="G354">
        <v>4.3</v>
      </c>
      <c r="H354" s="18">
        <v>4674</v>
      </c>
      <c r="I354" t="s">
        <v>2336</v>
      </c>
    </row>
    <row r="355" spans="1:9" x14ac:dyDescent="0.25">
      <c r="A355" t="s">
        <v>365</v>
      </c>
      <c r="B355" t="s">
        <v>1527</v>
      </c>
      <c r="C355" t="s">
        <v>10</v>
      </c>
      <c r="D355">
        <v>499</v>
      </c>
      <c r="E355" s="9">
        <v>1899</v>
      </c>
      <c r="F355">
        <v>74</v>
      </c>
      <c r="G355">
        <v>4.0999999999999996</v>
      </c>
      <c r="H355" s="18">
        <v>412</v>
      </c>
      <c r="I355" t="s">
        <v>2336</v>
      </c>
    </row>
    <row r="356" spans="1:9" x14ac:dyDescent="0.25">
      <c r="A356" t="s">
        <v>366</v>
      </c>
      <c r="B356" t="s">
        <v>1528</v>
      </c>
      <c r="C356" t="s">
        <v>10</v>
      </c>
      <c r="D356">
        <v>899</v>
      </c>
      <c r="E356" s="9">
        <v>3499</v>
      </c>
      <c r="F356">
        <v>74</v>
      </c>
      <c r="G356">
        <v>3</v>
      </c>
      <c r="H356" s="18">
        <v>681</v>
      </c>
      <c r="I356" t="s">
        <v>2339</v>
      </c>
    </row>
    <row r="357" spans="1:9" x14ac:dyDescent="0.25">
      <c r="A357" t="s">
        <v>367</v>
      </c>
      <c r="B357" t="s">
        <v>1529</v>
      </c>
      <c r="C357" t="s">
        <v>10</v>
      </c>
      <c r="D357">
        <v>1599</v>
      </c>
      <c r="E357" s="9">
        <v>3499</v>
      </c>
      <c r="F357">
        <v>54</v>
      </c>
      <c r="G357">
        <v>4</v>
      </c>
      <c r="H357" s="18">
        <v>36384</v>
      </c>
      <c r="I357" t="s">
        <v>2339</v>
      </c>
    </row>
    <row r="358" spans="1:9" x14ac:dyDescent="0.25">
      <c r="A358" t="s">
        <v>368</v>
      </c>
      <c r="B358" t="s">
        <v>1530</v>
      </c>
      <c r="C358" t="s">
        <v>10</v>
      </c>
      <c r="D358">
        <v>3999</v>
      </c>
      <c r="E358" s="9">
        <v>6999</v>
      </c>
      <c r="F358">
        <v>43</v>
      </c>
      <c r="G358">
        <v>4.0999999999999996</v>
      </c>
      <c r="H358" s="18">
        <v>10229</v>
      </c>
      <c r="I358" t="s">
        <v>2339</v>
      </c>
    </row>
    <row r="359" spans="1:9" x14ac:dyDescent="0.25">
      <c r="A359" t="s">
        <v>369</v>
      </c>
      <c r="B359" t="s">
        <v>1531</v>
      </c>
      <c r="C359" t="s">
        <v>10</v>
      </c>
      <c r="D359">
        <v>12999</v>
      </c>
      <c r="E359" s="9">
        <v>18999</v>
      </c>
      <c r="F359">
        <v>32</v>
      </c>
      <c r="G359">
        <v>4.0999999999999996</v>
      </c>
      <c r="H359" s="18">
        <v>50772</v>
      </c>
      <c r="I359" t="s">
        <v>2339</v>
      </c>
    </row>
    <row r="360" spans="1:9" x14ac:dyDescent="0.25">
      <c r="A360" t="s">
        <v>370</v>
      </c>
      <c r="B360" t="s">
        <v>1532</v>
      </c>
      <c r="C360" t="s">
        <v>10</v>
      </c>
      <c r="D360">
        <v>1599</v>
      </c>
      <c r="E360" s="9">
        <v>2599</v>
      </c>
      <c r="F360">
        <v>38</v>
      </c>
      <c r="G360">
        <v>4.3</v>
      </c>
      <c r="H360" s="18">
        <v>1801</v>
      </c>
      <c r="I360" t="s">
        <v>2339</v>
      </c>
    </row>
    <row r="361" spans="1:9" x14ac:dyDescent="0.25">
      <c r="A361" t="s">
        <v>371</v>
      </c>
      <c r="B361" t="s">
        <v>1533</v>
      </c>
      <c r="C361" t="s">
        <v>10</v>
      </c>
      <c r="D361">
        <v>99</v>
      </c>
      <c r="E361" s="9">
        <v>999</v>
      </c>
      <c r="F361">
        <v>90</v>
      </c>
      <c r="G361">
        <v>4.4000000000000004</v>
      </c>
      <c r="H361" s="18">
        <v>305</v>
      </c>
      <c r="I361" t="s">
        <v>2336</v>
      </c>
    </row>
    <row r="362" spans="1:9" x14ac:dyDescent="0.25">
      <c r="A362" t="s">
        <v>372</v>
      </c>
      <c r="B362" t="s">
        <v>1534</v>
      </c>
      <c r="C362" t="s">
        <v>10</v>
      </c>
      <c r="D362">
        <v>7915</v>
      </c>
      <c r="E362" s="9">
        <v>9999</v>
      </c>
      <c r="F362">
        <v>21</v>
      </c>
      <c r="G362">
        <v>4.3</v>
      </c>
      <c r="H362" s="18">
        <v>1376</v>
      </c>
      <c r="I362" t="s">
        <v>2339</v>
      </c>
    </row>
    <row r="363" spans="1:9" x14ac:dyDescent="0.25">
      <c r="A363" t="s">
        <v>373</v>
      </c>
      <c r="B363" t="s">
        <v>1535</v>
      </c>
      <c r="C363" t="s">
        <v>10</v>
      </c>
      <c r="D363">
        <v>1499</v>
      </c>
      <c r="E363" s="9">
        <v>7999</v>
      </c>
      <c r="F363">
        <v>81</v>
      </c>
      <c r="G363">
        <v>4.2</v>
      </c>
      <c r="H363" s="18">
        <v>22638</v>
      </c>
      <c r="I363" t="s">
        <v>2339</v>
      </c>
    </row>
    <row r="364" spans="1:9" x14ac:dyDescent="0.25">
      <c r="A364" t="s">
        <v>1172</v>
      </c>
      <c r="B364" t="s">
        <v>1536</v>
      </c>
      <c r="C364" t="s">
        <v>10</v>
      </c>
      <c r="D364">
        <v>1055</v>
      </c>
      <c r="E364" s="9">
        <v>1249</v>
      </c>
      <c r="F364">
        <v>16</v>
      </c>
      <c r="G364">
        <v>3.8</v>
      </c>
      <c r="H364" s="18">
        <v>2352</v>
      </c>
      <c r="I364" t="s">
        <v>2336</v>
      </c>
    </row>
    <row r="365" spans="1:9" x14ac:dyDescent="0.25">
      <c r="A365" t="s">
        <v>374</v>
      </c>
      <c r="B365" t="s">
        <v>1537</v>
      </c>
      <c r="C365" t="s">
        <v>10</v>
      </c>
      <c r="D365">
        <v>150</v>
      </c>
      <c r="E365" s="9">
        <v>599</v>
      </c>
      <c r="F365">
        <v>75</v>
      </c>
      <c r="G365">
        <v>4.3</v>
      </c>
      <c r="H365" s="18">
        <v>714</v>
      </c>
      <c r="I365" t="s">
        <v>2336</v>
      </c>
    </row>
    <row r="366" spans="1:9" x14ac:dyDescent="0.25">
      <c r="A366" t="s">
        <v>375</v>
      </c>
      <c r="B366" t="s">
        <v>1538</v>
      </c>
      <c r="C366" t="s">
        <v>10</v>
      </c>
      <c r="D366">
        <v>239</v>
      </c>
      <c r="E366" s="9">
        <v>599</v>
      </c>
      <c r="F366">
        <v>60</v>
      </c>
      <c r="G366">
        <v>3.9</v>
      </c>
      <c r="H366" s="18">
        <v>2147</v>
      </c>
      <c r="I366" t="s">
        <v>2336</v>
      </c>
    </row>
    <row r="367" spans="1:9" x14ac:dyDescent="0.25">
      <c r="A367" t="s">
        <v>376</v>
      </c>
      <c r="B367" t="s">
        <v>1539</v>
      </c>
      <c r="C367" t="s">
        <v>10</v>
      </c>
      <c r="D367">
        <v>265</v>
      </c>
      <c r="E367" s="9">
        <v>999</v>
      </c>
      <c r="F367">
        <v>73</v>
      </c>
      <c r="G367">
        <v>3.7</v>
      </c>
      <c r="H367" s="18">
        <v>465</v>
      </c>
      <c r="I367" t="s">
        <v>2336</v>
      </c>
    </row>
    <row r="368" spans="1:9" x14ac:dyDescent="0.25">
      <c r="A368" t="s">
        <v>377</v>
      </c>
      <c r="B368" t="s">
        <v>1540</v>
      </c>
      <c r="C368" t="s">
        <v>10</v>
      </c>
      <c r="D368">
        <v>37990</v>
      </c>
      <c r="E368" s="9">
        <v>74999</v>
      </c>
      <c r="F368">
        <v>49</v>
      </c>
      <c r="G368">
        <v>4.2</v>
      </c>
      <c r="H368" s="18">
        <v>27790</v>
      </c>
      <c r="I368" t="s">
        <v>2339</v>
      </c>
    </row>
    <row r="369" spans="1:9" x14ac:dyDescent="0.25">
      <c r="A369" t="s">
        <v>378</v>
      </c>
      <c r="B369" t="s">
        <v>1541</v>
      </c>
      <c r="C369" t="s">
        <v>10</v>
      </c>
      <c r="D369">
        <v>8499</v>
      </c>
      <c r="E369" s="9">
        <v>11999</v>
      </c>
      <c r="F369">
        <v>29</v>
      </c>
      <c r="G369">
        <v>3.9</v>
      </c>
      <c r="H369" s="18">
        <v>276</v>
      </c>
      <c r="I369" t="s">
        <v>2339</v>
      </c>
    </row>
    <row r="370" spans="1:9" x14ac:dyDescent="0.25">
      <c r="A370" t="s">
        <v>379</v>
      </c>
      <c r="B370" t="s">
        <v>1542</v>
      </c>
      <c r="C370" t="s">
        <v>10</v>
      </c>
      <c r="D370">
        <v>1999</v>
      </c>
      <c r="E370" s="9">
        <v>3999</v>
      </c>
      <c r="F370">
        <v>50</v>
      </c>
      <c r="G370">
        <v>4</v>
      </c>
      <c r="H370" s="18">
        <v>30254</v>
      </c>
      <c r="I370" t="s">
        <v>2339</v>
      </c>
    </row>
    <row r="371" spans="1:9" x14ac:dyDescent="0.25">
      <c r="A371" t="s">
        <v>380</v>
      </c>
      <c r="B371" t="s">
        <v>1543</v>
      </c>
      <c r="C371" t="s">
        <v>10</v>
      </c>
      <c r="D371">
        <v>219</v>
      </c>
      <c r="E371" s="9">
        <v>499</v>
      </c>
      <c r="F371">
        <v>56</v>
      </c>
      <c r="G371">
        <v>4.4000000000000004</v>
      </c>
      <c r="H371" s="18">
        <v>14</v>
      </c>
      <c r="I371" t="s">
        <v>2340</v>
      </c>
    </row>
    <row r="372" spans="1:9" x14ac:dyDescent="0.25">
      <c r="A372" t="s">
        <v>381</v>
      </c>
      <c r="B372" t="s">
        <v>1544</v>
      </c>
      <c r="C372" t="s">
        <v>10</v>
      </c>
      <c r="D372">
        <v>599</v>
      </c>
      <c r="E372" s="9">
        <v>1399</v>
      </c>
      <c r="F372">
        <v>57</v>
      </c>
      <c r="G372">
        <v>4.0999999999999996</v>
      </c>
      <c r="H372" s="18">
        <v>14560</v>
      </c>
      <c r="I372" t="s">
        <v>2336</v>
      </c>
    </row>
    <row r="373" spans="1:9" x14ac:dyDescent="0.25">
      <c r="A373" t="s">
        <v>382</v>
      </c>
      <c r="B373" t="s">
        <v>1545</v>
      </c>
      <c r="C373" t="s">
        <v>10</v>
      </c>
      <c r="D373">
        <v>2499</v>
      </c>
      <c r="E373" s="9">
        <v>2999</v>
      </c>
      <c r="F373">
        <v>17</v>
      </c>
      <c r="G373">
        <v>4.0999999999999996</v>
      </c>
      <c r="H373" s="18">
        <v>3156</v>
      </c>
      <c r="I373" t="s">
        <v>2339</v>
      </c>
    </row>
    <row r="374" spans="1:9" x14ac:dyDescent="0.25">
      <c r="A374" t="s">
        <v>383</v>
      </c>
      <c r="B374" t="s">
        <v>1546</v>
      </c>
      <c r="C374" t="s">
        <v>10</v>
      </c>
      <c r="D374">
        <v>89</v>
      </c>
      <c r="E374" s="9">
        <v>499</v>
      </c>
      <c r="F374">
        <v>82</v>
      </c>
      <c r="G374">
        <v>4.0999999999999996</v>
      </c>
      <c r="H374" s="18">
        <v>9340</v>
      </c>
      <c r="I374" t="s">
        <v>2340</v>
      </c>
    </row>
    <row r="375" spans="1:9" x14ac:dyDescent="0.25">
      <c r="A375" t="s">
        <v>384</v>
      </c>
      <c r="B375" t="s">
        <v>1547</v>
      </c>
      <c r="C375" t="s">
        <v>10</v>
      </c>
      <c r="D375">
        <v>2999</v>
      </c>
      <c r="E375" s="9">
        <v>11999</v>
      </c>
      <c r="F375">
        <v>75</v>
      </c>
      <c r="G375">
        <v>4.4000000000000004</v>
      </c>
      <c r="H375" s="18">
        <v>768</v>
      </c>
      <c r="I375" t="s">
        <v>2339</v>
      </c>
    </row>
    <row r="376" spans="1:9" x14ac:dyDescent="0.25">
      <c r="A376" t="s">
        <v>385</v>
      </c>
      <c r="B376" t="s">
        <v>1548</v>
      </c>
      <c r="C376" t="s">
        <v>10</v>
      </c>
      <c r="D376">
        <v>314</v>
      </c>
      <c r="E376" s="9">
        <v>1499</v>
      </c>
      <c r="F376">
        <v>79</v>
      </c>
      <c r="G376">
        <v>4.5</v>
      </c>
      <c r="H376" s="18">
        <v>28978</v>
      </c>
      <c r="I376" t="s">
        <v>2336</v>
      </c>
    </row>
    <row r="377" spans="1:9" x14ac:dyDescent="0.25">
      <c r="A377" t="s">
        <v>386</v>
      </c>
      <c r="B377" t="s">
        <v>1549</v>
      </c>
      <c r="C377" t="s">
        <v>10</v>
      </c>
      <c r="D377">
        <v>13999</v>
      </c>
      <c r="E377" s="9">
        <v>19499</v>
      </c>
      <c r="F377">
        <v>28</v>
      </c>
      <c r="G377">
        <v>4.0999999999999996</v>
      </c>
      <c r="H377" s="18">
        <v>18998</v>
      </c>
      <c r="I377" t="s">
        <v>2339</v>
      </c>
    </row>
    <row r="378" spans="1:9" x14ac:dyDescent="0.25">
      <c r="A378" t="s">
        <v>387</v>
      </c>
      <c r="B378" t="s">
        <v>1550</v>
      </c>
      <c r="C378" t="s">
        <v>10</v>
      </c>
      <c r="D378">
        <v>139</v>
      </c>
      <c r="E378" s="9">
        <v>499</v>
      </c>
      <c r="F378">
        <v>72</v>
      </c>
      <c r="G378">
        <v>4.2</v>
      </c>
      <c r="H378" s="18">
        <v>4971</v>
      </c>
      <c r="I378" t="s">
        <v>2340</v>
      </c>
    </row>
    <row r="379" spans="1:9" x14ac:dyDescent="0.25">
      <c r="A379" t="s">
        <v>388</v>
      </c>
      <c r="B379" t="s">
        <v>1551</v>
      </c>
      <c r="C379" t="s">
        <v>10</v>
      </c>
      <c r="D379">
        <v>365</v>
      </c>
      <c r="E379" s="9">
        <v>999</v>
      </c>
      <c r="F379">
        <v>63</v>
      </c>
      <c r="G379">
        <v>4.0999999999999996</v>
      </c>
      <c r="H379" s="18">
        <v>363711</v>
      </c>
      <c r="I379" t="s">
        <v>2336</v>
      </c>
    </row>
    <row r="380" spans="1:9" x14ac:dyDescent="0.25">
      <c r="A380" t="s">
        <v>389</v>
      </c>
      <c r="B380" t="s">
        <v>1552</v>
      </c>
      <c r="C380" t="s">
        <v>10</v>
      </c>
      <c r="D380">
        <v>1499</v>
      </c>
      <c r="E380" s="9">
        <v>4490</v>
      </c>
      <c r="F380">
        <v>67</v>
      </c>
      <c r="G380">
        <v>3.9</v>
      </c>
      <c r="H380" s="18">
        <v>136954</v>
      </c>
      <c r="I380" t="s">
        <v>2339</v>
      </c>
    </row>
    <row r="381" spans="1:9" x14ac:dyDescent="0.25">
      <c r="A381" t="s">
        <v>390</v>
      </c>
      <c r="B381" t="s">
        <v>1553</v>
      </c>
      <c r="C381" t="s">
        <v>9</v>
      </c>
      <c r="D381">
        <v>289</v>
      </c>
      <c r="E381" s="9">
        <v>650</v>
      </c>
      <c r="F381">
        <v>56</v>
      </c>
      <c r="G381">
        <v>4.3</v>
      </c>
      <c r="H381" s="18">
        <v>253105</v>
      </c>
      <c r="I381" t="s">
        <v>2336</v>
      </c>
    </row>
    <row r="382" spans="1:9" x14ac:dyDescent="0.25">
      <c r="A382" t="s">
        <v>391</v>
      </c>
      <c r="B382" t="s">
        <v>1554</v>
      </c>
      <c r="C382" t="s">
        <v>9</v>
      </c>
      <c r="D382">
        <v>599</v>
      </c>
      <c r="E382" s="9">
        <v>895</v>
      </c>
      <c r="F382">
        <v>33</v>
      </c>
      <c r="G382">
        <v>4.4000000000000004</v>
      </c>
      <c r="H382" s="18">
        <v>61314</v>
      </c>
      <c r="I382" t="s">
        <v>2336</v>
      </c>
    </row>
    <row r="383" spans="1:9" x14ac:dyDescent="0.25">
      <c r="A383" t="s">
        <v>392</v>
      </c>
      <c r="B383" t="s">
        <v>1555</v>
      </c>
      <c r="C383" t="s">
        <v>9</v>
      </c>
      <c r="D383">
        <v>217</v>
      </c>
      <c r="E383" s="9">
        <v>237</v>
      </c>
      <c r="F383">
        <v>8</v>
      </c>
      <c r="G383">
        <v>3.8</v>
      </c>
      <c r="H383" s="18">
        <v>7354</v>
      </c>
      <c r="I383" t="s">
        <v>2340</v>
      </c>
    </row>
    <row r="384" spans="1:9" x14ac:dyDescent="0.25">
      <c r="A384" t="s">
        <v>393</v>
      </c>
      <c r="B384" t="s">
        <v>1556</v>
      </c>
      <c r="C384" t="s">
        <v>10</v>
      </c>
      <c r="D384">
        <v>1299</v>
      </c>
      <c r="E384" s="9">
        <v>2990</v>
      </c>
      <c r="F384">
        <v>57</v>
      </c>
      <c r="G384">
        <v>3.8</v>
      </c>
      <c r="H384" s="18">
        <v>180998</v>
      </c>
      <c r="I384" t="s">
        <v>2339</v>
      </c>
    </row>
    <row r="385" spans="1:9" x14ac:dyDescent="0.25">
      <c r="A385" t="s">
        <v>394</v>
      </c>
      <c r="B385" t="s">
        <v>1557</v>
      </c>
      <c r="C385" t="s">
        <v>9</v>
      </c>
      <c r="D385">
        <v>263</v>
      </c>
      <c r="E385" s="9">
        <v>699</v>
      </c>
      <c r="F385">
        <v>62</v>
      </c>
      <c r="G385">
        <v>3.5</v>
      </c>
      <c r="H385" s="18">
        <v>690</v>
      </c>
      <c r="I385" t="s">
        <v>2336</v>
      </c>
    </row>
    <row r="386" spans="1:9" x14ac:dyDescent="0.25">
      <c r="A386" t="s">
        <v>395</v>
      </c>
      <c r="B386" t="s">
        <v>1558</v>
      </c>
      <c r="C386" t="s">
        <v>10</v>
      </c>
      <c r="D386">
        <v>1399</v>
      </c>
      <c r="E386" s="9">
        <v>3990</v>
      </c>
      <c r="F386">
        <v>65</v>
      </c>
      <c r="G386">
        <v>4.0999999999999996</v>
      </c>
      <c r="H386" s="18">
        <v>141841</v>
      </c>
      <c r="I386" t="s">
        <v>2339</v>
      </c>
    </row>
    <row r="387" spans="1:9" x14ac:dyDescent="0.25">
      <c r="A387" t="s">
        <v>396</v>
      </c>
      <c r="B387" t="s">
        <v>1559</v>
      </c>
      <c r="C387" t="s">
        <v>9</v>
      </c>
      <c r="D387">
        <v>349</v>
      </c>
      <c r="E387" s="9">
        <v>1499</v>
      </c>
      <c r="F387">
        <v>77</v>
      </c>
      <c r="G387">
        <v>4.3</v>
      </c>
      <c r="H387" s="18">
        <v>24791</v>
      </c>
      <c r="I387" t="s">
        <v>2336</v>
      </c>
    </row>
    <row r="388" spans="1:9" x14ac:dyDescent="0.25">
      <c r="A388" t="s">
        <v>397</v>
      </c>
      <c r="B388" t="s">
        <v>1560</v>
      </c>
      <c r="C388" t="s">
        <v>10</v>
      </c>
      <c r="D388">
        <v>149</v>
      </c>
      <c r="E388" s="9">
        <v>399</v>
      </c>
      <c r="F388">
        <v>63</v>
      </c>
      <c r="G388">
        <v>3.5</v>
      </c>
      <c r="H388" s="18">
        <v>21764</v>
      </c>
      <c r="I388" t="s">
        <v>2340</v>
      </c>
    </row>
    <row r="389" spans="1:9" x14ac:dyDescent="0.25">
      <c r="A389" t="s">
        <v>398</v>
      </c>
      <c r="B389" t="s">
        <v>1561</v>
      </c>
      <c r="C389" t="s">
        <v>10</v>
      </c>
      <c r="D389">
        <v>1220</v>
      </c>
      <c r="E389" s="9">
        <v>3990</v>
      </c>
      <c r="F389">
        <v>69</v>
      </c>
      <c r="G389">
        <v>4.0999999999999996</v>
      </c>
      <c r="H389" s="18">
        <v>107151</v>
      </c>
      <c r="I389" t="s">
        <v>2339</v>
      </c>
    </row>
    <row r="390" spans="1:9" x14ac:dyDescent="0.25">
      <c r="A390" t="s">
        <v>399</v>
      </c>
      <c r="B390" t="s">
        <v>1562</v>
      </c>
      <c r="C390" t="s">
        <v>10</v>
      </c>
      <c r="D390">
        <v>499</v>
      </c>
      <c r="E390" s="9">
        <v>999</v>
      </c>
      <c r="F390">
        <v>50</v>
      </c>
      <c r="G390">
        <v>3.9</v>
      </c>
      <c r="H390" s="18">
        <v>92995</v>
      </c>
      <c r="I390" t="s">
        <v>2336</v>
      </c>
    </row>
    <row r="391" spans="1:9" x14ac:dyDescent="0.25">
      <c r="A391" t="s">
        <v>400</v>
      </c>
      <c r="B391" t="s">
        <v>1563</v>
      </c>
      <c r="C391" t="s">
        <v>9</v>
      </c>
      <c r="D391">
        <v>99</v>
      </c>
      <c r="E391" s="9">
        <v>999</v>
      </c>
      <c r="F391">
        <v>90</v>
      </c>
      <c r="G391">
        <v>4.0999999999999996</v>
      </c>
      <c r="H391" s="18">
        <v>8751</v>
      </c>
      <c r="I391" t="s">
        <v>2336</v>
      </c>
    </row>
    <row r="392" spans="1:9" x14ac:dyDescent="0.25">
      <c r="A392" t="s">
        <v>401</v>
      </c>
      <c r="B392" t="s">
        <v>1564</v>
      </c>
      <c r="C392" t="s">
        <v>9</v>
      </c>
      <c r="D392">
        <v>475</v>
      </c>
      <c r="E392" s="9">
        <v>1500</v>
      </c>
      <c r="F392">
        <v>68</v>
      </c>
      <c r="G392">
        <v>4.2</v>
      </c>
      <c r="H392" s="18">
        <v>64273</v>
      </c>
      <c r="I392" t="s">
        <v>2336</v>
      </c>
    </row>
    <row r="393" spans="1:9" x14ac:dyDescent="0.25">
      <c r="A393" t="s">
        <v>402</v>
      </c>
      <c r="B393" t="s">
        <v>1565</v>
      </c>
      <c r="C393" t="s">
        <v>9</v>
      </c>
      <c r="D393">
        <v>269</v>
      </c>
      <c r="E393" s="9">
        <v>649</v>
      </c>
      <c r="F393">
        <v>59</v>
      </c>
      <c r="G393">
        <v>4.3</v>
      </c>
      <c r="H393" s="18">
        <v>54315</v>
      </c>
      <c r="I393" t="s">
        <v>2336</v>
      </c>
    </row>
    <row r="394" spans="1:9" x14ac:dyDescent="0.25">
      <c r="A394" t="s">
        <v>403</v>
      </c>
      <c r="B394" t="s">
        <v>1566</v>
      </c>
      <c r="C394" t="s">
        <v>9</v>
      </c>
      <c r="D394">
        <v>299</v>
      </c>
      <c r="E394" s="9">
        <v>599</v>
      </c>
      <c r="F394">
        <v>50</v>
      </c>
      <c r="G394">
        <v>4.0999999999999996</v>
      </c>
      <c r="H394" s="18">
        <v>1597</v>
      </c>
      <c r="I394" t="s">
        <v>2336</v>
      </c>
    </row>
    <row r="395" spans="1:9" x14ac:dyDescent="0.25">
      <c r="A395" t="s">
        <v>404</v>
      </c>
      <c r="B395" t="s">
        <v>1567</v>
      </c>
      <c r="C395" t="s">
        <v>10</v>
      </c>
      <c r="D395">
        <v>329</v>
      </c>
      <c r="E395" s="9">
        <v>999</v>
      </c>
      <c r="F395">
        <v>67</v>
      </c>
      <c r="G395">
        <v>3.9</v>
      </c>
      <c r="H395" s="18">
        <v>77027</v>
      </c>
      <c r="I395" t="s">
        <v>2336</v>
      </c>
    </row>
    <row r="396" spans="1:9" x14ac:dyDescent="0.25">
      <c r="A396" t="s">
        <v>405</v>
      </c>
      <c r="B396" t="s">
        <v>1568</v>
      </c>
      <c r="C396" t="s">
        <v>9</v>
      </c>
      <c r="D396">
        <v>549</v>
      </c>
      <c r="E396" s="9">
        <v>1799</v>
      </c>
      <c r="F396">
        <v>69</v>
      </c>
      <c r="G396">
        <v>4.3</v>
      </c>
      <c r="H396" s="18">
        <v>28829</v>
      </c>
      <c r="I396" t="s">
        <v>2336</v>
      </c>
    </row>
    <row r="397" spans="1:9" x14ac:dyDescent="0.25">
      <c r="A397" t="s">
        <v>406</v>
      </c>
      <c r="B397" t="s">
        <v>1569</v>
      </c>
      <c r="C397" t="s">
        <v>9</v>
      </c>
      <c r="D397">
        <v>299</v>
      </c>
      <c r="E397" s="9">
        <v>650</v>
      </c>
      <c r="F397">
        <v>54</v>
      </c>
      <c r="G397">
        <v>4.5</v>
      </c>
      <c r="H397" s="18">
        <v>33176</v>
      </c>
      <c r="I397" t="s">
        <v>2336</v>
      </c>
    </row>
    <row r="398" spans="1:9" x14ac:dyDescent="0.25">
      <c r="A398" t="s">
        <v>407</v>
      </c>
      <c r="B398" t="s">
        <v>1570</v>
      </c>
      <c r="C398" t="s">
        <v>408</v>
      </c>
      <c r="D398">
        <v>798</v>
      </c>
      <c r="E398" s="9">
        <v>1995</v>
      </c>
      <c r="F398">
        <v>60</v>
      </c>
      <c r="G398">
        <v>4</v>
      </c>
      <c r="H398" s="18">
        <v>68664</v>
      </c>
      <c r="I398" t="s">
        <v>2336</v>
      </c>
    </row>
    <row r="399" spans="1:9" x14ac:dyDescent="0.25">
      <c r="A399" t="s">
        <v>409</v>
      </c>
      <c r="B399" t="s">
        <v>1571</v>
      </c>
      <c r="C399" t="s">
        <v>10</v>
      </c>
      <c r="D399">
        <v>266</v>
      </c>
      <c r="E399" s="9">
        <v>315</v>
      </c>
      <c r="F399">
        <v>16</v>
      </c>
      <c r="G399">
        <v>4.5</v>
      </c>
      <c r="H399" s="18">
        <v>28030</v>
      </c>
      <c r="I399" t="s">
        <v>2340</v>
      </c>
    </row>
    <row r="400" spans="1:9" x14ac:dyDescent="0.25">
      <c r="A400" t="s">
        <v>410</v>
      </c>
      <c r="B400" t="s">
        <v>1572</v>
      </c>
      <c r="C400" t="s">
        <v>411</v>
      </c>
      <c r="D400">
        <v>50</v>
      </c>
      <c r="E400" s="9">
        <v>50</v>
      </c>
      <c r="F400">
        <v>0</v>
      </c>
      <c r="G400">
        <v>4.3</v>
      </c>
      <c r="H400" s="18">
        <v>5792</v>
      </c>
      <c r="I400" t="s">
        <v>2340</v>
      </c>
    </row>
    <row r="401" spans="1:9" x14ac:dyDescent="0.25">
      <c r="A401" t="s">
        <v>412</v>
      </c>
      <c r="B401" t="s">
        <v>1573</v>
      </c>
      <c r="C401" t="s">
        <v>413</v>
      </c>
      <c r="D401">
        <v>130</v>
      </c>
      <c r="E401" s="9">
        <v>165</v>
      </c>
      <c r="F401">
        <v>21</v>
      </c>
      <c r="G401">
        <v>3.9</v>
      </c>
      <c r="H401" s="18">
        <v>14778</v>
      </c>
      <c r="I401" t="s">
        <v>2340</v>
      </c>
    </row>
    <row r="402" spans="1:9" x14ac:dyDescent="0.25">
      <c r="A402" t="s">
        <v>414</v>
      </c>
      <c r="B402" t="s">
        <v>1574</v>
      </c>
      <c r="C402" t="s">
        <v>10</v>
      </c>
      <c r="D402">
        <v>449</v>
      </c>
      <c r="E402" s="9">
        <v>1290</v>
      </c>
      <c r="F402">
        <v>65</v>
      </c>
      <c r="G402">
        <v>4.0999999999999996</v>
      </c>
      <c r="H402" s="18">
        <v>91770</v>
      </c>
      <c r="I402" t="s">
        <v>2336</v>
      </c>
    </row>
    <row r="403" spans="1:9" x14ac:dyDescent="0.25">
      <c r="A403" t="s">
        <v>415</v>
      </c>
      <c r="B403" t="s">
        <v>1575</v>
      </c>
      <c r="C403" t="s">
        <v>10</v>
      </c>
      <c r="D403">
        <v>399</v>
      </c>
      <c r="E403" s="9">
        <v>1290</v>
      </c>
      <c r="F403">
        <v>69</v>
      </c>
      <c r="G403">
        <v>4.2</v>
      </c>
      <c r="H403" s="18">
        <v>206</v>
      </c>
      <c r="I403" t="s">
        <v>2336</v>
      </c>
    </row>
    <row r="404" spans="1:9" x14ac:dyDescent="0.25">
      <c r="A404" t="s">
        <v>416</v>
      </c>
      <c r="B404" t="s">
        <v>1576</v>
      </c>
      <c r="C404" t="s">
        <v>9</v>
      </c>
      <c r="D404">
        <v>1399</v>
      </c>
      <c r="E404" s="9">
        <v>2498</v>
      </c>
      <c r="F404">
        <v>44</v>
      </c>
      <c r="G404">
        <v>4.2</v>
      </c>
      <c r="H404" s="18">
        <v>33717</v>
      </c>
      <c r="I404" t="s">
        <v>2339</v>
      </c>
    </row>
    <row r="405" spans="1:9" x14ac:dyDescent="0.25">
      <c r="A405" t="s">
        <v>417</v>
      </c>
      <c r="B405" t="s">
        <v>1577</v>
      </c>
      <c r="C405" t="s">
        <v>9</v>
      </c>
      <c r="D405">
        <v>4098</v>
      </c>
      <c r="E405" s="9">
        <v>4999</v>
      </c>
      <c r="F405">
        <v>18</v>
      </c>
      <c r="G405">
        <v>4.5</v>
      </c>
      <c r="H405" s="18">
        <v>50810</v>
      </c>
      <c r="I405" t="s">
        <v>2339</v>
      </c>
    </row>
    <row r="406" spans="1:9" x14ac:dyDescent="0.25">
      <c r="A406" t="s">
        <v>418</v>
      </c>
      <c r="B406" t="s">
        <v>1578</v>
      </c>
      <c r="C406" t="s">
        <v>10</v>
      </c>
      <c r="D406">
        <v>499</v>
      </c>
      <c r="E406" s="9">
        <v>1999</v>
      </c>
      <c r="F406">
        <v>75</v>
      </c>
      <c r="G406">
        <v>3.7</v>
      </c>
      <c r="H406" s="18">
        <v>3369</v>
      </c>
      <c r="I406" t="s">
        <v>2336</v>
      </c>
    </row>
    <row r="407" spans="1:9" x14ac:dyDescent="0.25">
      <c r="A407" t="s">
        <v>419</v>
      </c>
      <c r="B407" t="s">
        <v>1579</v>
      </c>
      <c r="C407" t="s">
        <v>9</v>
      </c>
      <c r="D407">
        <v>299</v>
      </c>
      <c r="E407" s="9">
        <v>449</v>
      </c>
      <c r="F407">
        <v>33</v>
      </c>
      <c r="G407">
        <v>3.5</v>
      </c>
      <c r="H407" s="18">
        <v>11827</v>
      </c>
      <c r="I407" t="s">
        <v>2340</v>
      </c>
    </row>
    <row r="408" spans="1:9" x14ac:dyDescent="0.25">
      <c r="A408" t="s">
        <v>420</v>
      </c>
      <c r="B408" t="s">
        <v>1580</v>
      </c>
      <c r="C408" t="s">
        <v>9</v>
      </c>
      <c r="D408">
        <v>699</v>
      </c>
      <c r="E408" s="9">
        <v>999</v>
      </c>
      <c r="F408">
        <v>30</v>
      </c>
      <c r="G408">
        <v>3.5</v>
      </c>
      <c r="H408" s="18">
        <v>15295</v>
      </c>
      <c r="I408" t="s">
        <v>2336</v>
      </c>
    </row>
    <row r="409" spans="1:9" x14ac:dyDescent="0.25">
      <c r="A409" t="s">
        <v>421</v>
      </c>
      <c r="B409" t="s">
        <v>1581</v>
      </c>
      <c r="C409" t="s">
        <v>10</v>
      </c>
      <c r="D409">
        <v>799</v>
      </c>
      <c r="E409" s="9">
        <v>3990</v>
      </c>
      <c r="F409">
        <v>80</v>
      </c>
      <c r="G409">
        <v>4.3</v>
      </c>
      <c r="H409" s="18">
        <v>27139</v>
      </c>
      <c r="I409" t="s">
        <v>2339</v>
      </c>
    </row>
    <row r="410" spans="1:9" x14ac:dyDescent="0.25">
      <c r="A410" t="s">
        <v>422</v>
      </c>
      <c r="B410" t="s">
        <v>1582</v>
      </c>
      <c r="C410" t="s">
        <v>10</v>
      </c>
      <c r="D410">
        <v>1399</v>
      </c>
      <c r="E410" s="9">
        <v>5499</v>
      </c>
      <c r="F410">
        <v>75</v>
      </c>
      <c r="G410">
        <v>3.9</v>
      </c>
      <c r="H410" s="18">
        <v>9504</v>
      </c>
      <c r="I410" t="s">
        <v>2339</v>
      </c>
    </row>
    <row r="411" spans="1:9" x14ac:dyDescent="0.25">
      <c r="A411" t="s">
        <v>423</v>
      </c>
      <c r="B411" t="s">
        <v>1583</v>
      </c>
      <c r="C411" t="s">
        <v>9</v>
      </c>
      <c r="D411">
        <v>519</v>
      </c>
      <c r="E411" s="9">
        <v>1350</v>
      </c>
      <c r="F411">
        <v>62</v>
      </c>
      <c r="G411">
        <v>4.3</v>
      </c>
      <c r="H411" s="18">
        <v>30058</v>
      </c>
      <c r="I411" t="s">
        <v>2336</v>
      </c>
    </row>
    <row r="412" spans="1:9" x14ac:dyDescent="0.25">
      <c r="A412" t="s">
        <v>424</v>
      </c>
      <c r="B412" t="s">
        <v>1584</v>
      </c>
      <c r="C412" t="s">
        <v>10</v>
      </c>
      <c r="D412">
        <v>1499</v>
      </c>
      <c r="E412" s="9">
        <v>3990</v>
      </c>
      <c r="F412">
        <v>62</v>
      </c>
      <c r="G412">
        <v>4.0999999999999996</v>
      </c>
      <c r="H412" s="18">
        <v>109864</v>
      </c>
      <c r="I412" t="s">
        <v>2339</v>
      </c>
    </row>
    <row r="413" spans="1:9" x14ac:dyDescent="0.25">
      <c r="A413" t="s">
        <v>425</v>
      </c>
      <c r="B413" t="s">
        <v>1585</v>
      </c>
      <c r="C413" t="s">
        <v>411</v>
      </c>
      <c r="D413">
        <v>1295</v>
      </c>
      <c r="E413" s="9">
        <v>1295</v>
      </c>
      <c r="F413">
        <v>0</v>
      </c>
      <c r="G413">
        <v>4.5</v>
      </c>
      <c r="H413" s="18">
        <v>5760</v>
      </c>
      <c r="I413" t="s">
        <v>2336</v>
      </c>
    </row>
    <row r="414" spans="1:9" x14ac:dyDescent="0.25">
      <c r="A414" t="s">
        <v>426</v>
      </c>
      <c r="B414" t="s">
        <v>1586</v>
      </c>
      <c r="C414" t="s">
        <v>9</v>
      </c>
      <c r="D414">
        <v>1889</v>
      </c>
      <c r="E414" s="9">
        <v>5499</v>
      </c>
      <c r="F414">
        <v>66</v>
      </c>
      <c r="G414">
        <v>4.2</v>
      </c>
      <c r="H414" s="18">
        <v>49551</v>
      </c>
      <c r="I414" t="s">
        <v>2339</v>
      </c>
    </row>
    <row r="415" spans="1:9" x14ac:dyDescent="0.25">
      <c r="A415" t="s">
        <v>427</v>
      </c>
      <c r="B415" t="s">
        <v>1587</v>
      </c>
      <c r="C415" t="s">
        <v>10</v>
      </c>
      <c r="D415">
        <v>399</v>
      </c>
      <c r="E415" s="9">
        <v>995</v>
      </c>
      <c r="F415">
        <v>60</v>
      </c>
      <c r="G415">
        <v>3.9</v>
      </c>
      <c r="H415" s="18">
        <v>21372</v>
      </c>
      <c r="I415" t="s">
        <v>2336</v>
      </c>
    </row>
    <row r="416" spans="1:9" x14ac:dyDescent="0.25">
      <c r="A416" t="s">
        <v>428</v>
      </c>
      <c r="B416" t="s">
        <v>1588</v>
      </c>
      <c r="C416" t="s">
        <v>9</v>
      </c>
      <c r="D416">
        <v>717</v>
      </c>
      <c r="E416" s="9">
        <v>761</v>
      </c>
      <c r="F416">
        <v>6</v>
      </c>
      <c r="G416">
        <v>4</v>
      </c>
      <c r="H416" s="18">
        <v>7199</v>
      </c>
      <c r="I416" t="s">
        <v>2336</v>
      </c>
    </row>
    <row r="417" spans="1:9" x14ac:dyDescent="0.25">
      <c r="A417" t="s">
        <v>429</v>
      </c>
      <c r="B417" t="s">
        <v>1589</v>
      </c>
      <c r="C417" t="s">
        <v>9</v>
      </c>
      <c r="D417">
        <v>39</v>
      </c>
      <c r="E417" s="9">
        <v>299</v>
      </c>
      <c r="F417">
        <v>87</v>
      </c>
      <c r="G417">
        <v>3.5</v>
      </c>
      <c r="H417" s="18">
        <v>15233</v>
      </c>
      <c r="I417" t="s">
        <v>2340</v>
      </c>
    </row>
    <row r="418" spans="1:9" x14ac:dyDescent="0.25">
      <c r="A418" t="s">
        <v>430</v>
      </c>
      <c r="B418" t="s">
        <v>1590</v>
      </c>
      <c r="C418" t="s">
        <v>9</v>
      </c>
      <c r="D418">
        <v>889</v>
      </c>
      <c r="E418" s="9">
        <v>2500</v>
      </c>
      <c r="F418">
        <v>64</v>
      </c>
      <c r="G418">
        <v>4.3</v>
      </c>
      <c r="H418" s="18">
        <v>55747</v>
      </c>
      <c r="I418" t="s">
        <v>2339</v>
      </c>
    </row>
    <row r="419" spans="1:9" x14ac:dyDescent="0.25">
      <c r="A419" t="s">
        <v>431</v>
      </c>
      <c r="B419" t="s">
        <v>1591</v>
      </c>
      <c r="C419" t="s">
        <v>10</v>
      </c>
      <c r="D419">
        <v>1199</v>
      </c>
      <c r="E419" s="9">
        <v>4999</v>
      </c>
      <c r="F419">
        <v>76</v>
      </c>
      <c r="G419">
        <v>3.8</v>
      </c>
      <c r="H419" s="18">
        <v>14961</v>
      </c>
      <c r="I419" t="s">
        <v>2339</v>
      </c>
    </row>
    <row r="420" spans="1:9" x14ac:dyDescent="0.25">
      <c r="A420" t="s">
        <v>432</v>
      </c>
      <c r="B420" t="s">
        <v>1592</v>
      </c>
      <c r="C420" t="s">
        <v>9</v>
      </c>
      <c r="D420">
        <v>569</v>
      </c>
      <c r="E420" s="9">
        <v>1299</v>
      </c>
      <c r="F420">
        <v>56</v>
      </c>
      <c r="G420">
        <v>4.4000000000000004</v>
      </c>
      <c r="H420" s="18">
        <v>9275</v>
      </c>
      <c r="I420" t="s">
        <v>2336</v>
      </c>
    </row>
    <row r="421" spans="1:9" x14ac:dyDescent="0.25">
      <c r="A421" t="s">
        <v>433</v>
      </c>
      <c r="B421" t="s">
        <v>1593</v>
      </c>
      <c r="C421" t="s">
        <v>10</v>
      </c>
      <c r="D421">
        <v>1499</v>
      </c>
      <c r="E421" s="9">
        <v>8999</v>
      </c>
      <c r="F421">
        <v>83</v>
      </c>
      <c r="G421">
        <v>3.7</v>
      </c>
      <c r="H421" s="18">
        <v>28324</v>
      </c>
      <c r="I421" t="s">
        <v>2339</v>
      </c>
    </row>
    <row r="422" spans="1:9" x14ac:dyDescent="0.25">
      <c r="A422" t="s">
        <v>434</v>
      </c>
      <c r="B422" t="s">
        <v>1594</v>
      </c>
      <c r="C422" t="s">
        <v>10</v>
      </c>
      <c r="D422">
        <v>149</v>
      </c>
      <c r="E422" s="9">
        <v>180</v>
      </c>
      <c r="F422">
        <v>17</v>
      </c>
      <c r="G422">
        <v>4.4000000000000004</v>
      </c>
      <c r="H422" s="18">
        <v>644</v>
      </c>
      <c r="I422" t="s">
        <v>2340</v>
      </c>
    </row>
    <row r="423" spans="1:9" x14ac:dyDescent="0.25">
      <c r="A423" t="s">
        <v>435</v>
      </c>
      <c r="B423" t="s">
        <v>1595</v>
      </c>
      <c r="C423" t="s">
        <v>9</v>
      </c>
      <c r="D423">
        <v>399</v>
      </c>
      <c r="E423" s="9">
        <v>549</v>
      </c>
      <c r="F423">
        <v>27</v>
      </c>
      <c r="G423">
        <v>4.4000000000000004</v>
      </c>
      <c r="H423" s="18">
        <v>18139</v>
      </c>
      <c r="I423" t="s">
        <v>2336</v>
      </c>
    </row>
    <row r="424" spans="1:9" x14ac:dyDescent="0.25">
      <c r="A424" t="s">
        <v>436</v>
      </c>
      <c r="B424" t="s">
        <v>1596</v>
      </c>
      <c r="C424" t="s">
        <v>413</v>
      </c>
      <c r="D424">
        <v>191</v>
      </c>
      <c r="E424" s="9">
        <v>225</v>
      </c>
      <c r="F424">
        <v>15</v>
      </c>
      <c r="G424">
        <v>4.4000000000000004</v>
      </c>
      <c r="H424" s="18">
        <v>7203</v>
      </c>
      <c r="I424" t="s">
        <v>2340</v>
      </c>
    </row>
    <row r="425" spans="1:9" x14ac:dyDescent="0.25">
      <c r="A425" t="s">
        <v>437</v>
      </c>
      <c r="B425" t="s">
        <v>1597</v>
      </c>
      <c r="C425" t="s">
        <v>9</v>
      </c>
      <c r="D425">
        <v>129</v>
      </c>
      <c r="E425" s="9">
        <v>999</v>
      </c>
      <c r="F425">
        <v>87</v>
      </c>
      <c r="G425">
        <v>4.2</v>
      </c>
      <c r="H425" s="18">
        <v>491</v>
      </c>
      <c r="I425" t="s">
        <v>2336</v>
      </c>
    </row>
    <row r="426" spans="1:9" x14ac:dyDescent="0.25">
      <c r="A426" t="s">
        <v>438</v>
      </c>
      <c r="B426" t="s">
        <v>1598</v>
      </c>
      <c r="C426" t="s">
        <v>9</v>
      </c>
      <c r="D426">
        <v>199</v>
      </c>
      <c r="E426" s="9">
        <v>599</v>
      </c>
      <c r="F426">
        <v>67</v>
      </c>
      <c r="G426">
        <v>4.5</v>
      </c>
      <c r="H426" s="18">
        <v>13568</v>
      </c>
      <c r="I426" t="s">
        <v>2336</v>
      </c>
    </row>
    <row r="427" spans="1:9" x14ac:dyDescent="0.25">
      <c r="A427" t="s">
        <v>439</v>
      </c>
      <c r="B427" t="s">
        <v>1599</v>
      </c>
      <c r="C427" t="s">
        <v>10</v>
      </c>
      <c r="D427">
        <v>999</v>
      </c>
      <c r="E427" s="9">
        <v>4499</v>
      </c>
      <c r="F427">
        <v>78</v>
      </c>
      <c r="G427">
        <v>3.8</v>
      </c>
      <c r="H427" s="18">
        <v>3390</v>
      </c>
      <c r="I427" t="s">
        <v>2339</v>
      </c>
    </row>
    <row r="428" spans="1:9" x14ac:dyDescent="0.25">
      <c r="A428" t="s">
        <v>440</v>
      </c>
      <c r="B428" t="s">
        <v>1600</v>
      </c>
      <c r="C428" t="s">
        <v>10</v>
      </c>
      <c r="D428">
        <v>899</v>
      </c>
      <c r="E428" s="9">
        <v>4499</v>
      </c>
      <c r="F428">
        <v>80</v>
      </c>
      <c r="G428">
        <v>3.8</v>
      </c>
      <c r="H428" s="18">
        <v>103052</v>
      </c>
      <c r="I428" t="s">
        <v>2339</v>
      </c>
    </row>
    <row r="429" spans="1:9" x14ac:dyDescent="0.25">
      <c r="A429" t="s">
        <v>441</v>
      </c>
      <c r="B429" t="s">
        <v>1601</v>
      </c>
      <c r="C429" t="s">
        <v>411</v>
      </c>
      <c r="D429">
        <v>522</v>
      </c>
      <c r="E429" s="9">
        <v>550</v>
      </c>
      <c r="F429">
        <v>5</v>
      </c>
      <c r="G429">
        <v>4.4000000000000004</v>
      </c>
      <c r="H429" s="18">
        <v>12179</v>
      </c>
      <c r="I429" t="s">
        <v>2336</v>
      </c>
    </row>
    <row r="430" spans="1:9" x14ac:dyDescent="0.25">
      <c r="A430" t="s">
        <v>442</v>
      </c>
      <c r="B430" t="s">
        <v>1602</v>
      </c>
      <c r="C430" t="s">
        <v>10</v>
      </c>
      <c r="D430">
        <v>799</v>
      </c>
      <c r="E430" s="9">
        <v>1999</v>
      </c>
      <c r="F430">
        <v>60</v>
      </c>
      <c r="G430">
        <v>3.8</v>
      </c>
      <c r="H430" s="18">
        <v>12958</v>
      </c>
      <c r="I430" t="s">
        <v>2336</v>
      </c>
    </row>
    <row r="431" spans="1:9" x14ac:dyDescent="0.25">
      <c r="A431" t="s">
        <v>443</v>
      </c>
      <c r="B431" t="s">
        <v>1603</v>
      </c>
      <c r="C431" t="s">
        <v>9</v>
      </c>
      <c r="D431">
        <v>681</v>
      </c>
      <c r="E431" s="9">
        <v>1199</v>
      </c>
      <c r="F431">
        <v>43</v>
      </c>
      <c r="G431">
        <v>4.2</v>
      </c>
      <c r="H431" s="18">
        <v>8258</v>
      </c>
      <c r="I431" t="s">
        <v>2336</v>
      </c>
    </row>
    <row r="432" spans="1:9" x14ac:dyDescent="0.25">
      <c r="A432" t="s">
        <v>444</v>
      </c>
      <c r="B432" t="s">
        <v>1604</v>
      </c>
      <c r="C432" t="s">
        <v>9</v>
      </c>
      <c r="D432">
        <v>1199</v>
      </c>
      <c r="E432" s="9">
        <v>3490</v>
      </c>
      <c r="F432">
        <v>66</v>
      </c>
      <c r="G432">
        <v>4.0999999999999996</v>
      </c>
      <c r="H432" s="18">
        <v>11716</v>
      </c>
      <c r="I432" t="s">
        <v>2339</v>
      </c>
    </row>
    <row r="433" spans="1:9" x14ac:dyDescent="0.25">
      <c r="A433" t="s">
        <v>445</v>
      </c>
      <c r="B433" t="s">
        <v>1605</v>
      </c>
      <c r="C433" t="s">
        <v>9</v>
      </c>
      <c r="D433">
        <v>2499</v>
      </c>
      <c r="E433" s="9">
        <v>4999</v>
      </c>
      <c r="F433">
        <v>50</v>
      </c>
      <c r="G433">
        <v>4.4000000000000004</v>
      </c>
      <c r="H433" s="18">
        <v>35024</v>
      </c>
      <c r="I433" t="s">
        <v>2339</v>
      </c>
    </row>
    <row r="434" spans="1:9" x14ac:dyDescent="0.25">
      <c r="A434" t="s">
        <v>446</v>
      </c>
      <c r="B434" t="s">
        <v>1606</v>
      </c>
      <c r="C434" t="s">
        <v>10</v>
      </c>
      <c r="D434">
        <v>1799</v>
      </c>
      <c r="E434" s="9">
        <v>4999</v>
      </c>
      <c r="F434">
        <v>64</v>
      </c>
      <c r="G434">
        <v>4.0999999999999996</v>
      </c>
      <c r="H434" s="18">
        <v>55192</v>
      </c>
      <c r="I434" t="s">
        <v>2339</v>
      </c>
    </row>
    <row r="435" spans="1:9" x14ac:dyDescent="0.25">
      <c r="A435" t="s">
        <v>447</v>
      </c>
      <c r="B435" t="s">
        <v>1607</v>
      </c>
      <c r="C435" t="s">
        <v>10</v>
      </c>
      <c r="D435">
        <v>429</v>
      </c>
      <c r="E435" s="9">
        <v>599</v>
      </c>
      <c r="F435">
        <v>28</v>
      </c>
      <c r="G435">
        <v>4.0999999999999996</v>
      </c>
      <c r="H435" s="18">
        <v>119466</v>
      </c>
      <c r="I435" t="s">
        <v>2336</v>
      </c>
    </row>
    <row r="436" spans="1:9" x14ac:dyDescent="0.25">
      <c r="A436" t="s">
        <v>448</v>
      </c>
      <c r="B436" t="s">
        <v>1608</v>
      </c>
      <c r="C436" t="s">
        <v>9</v>
      </c>
      <c r="D436">
        <v>100</v>
      </c>
      <c r="E436" s="9">
        <v>499</v>
      </c>
      <c r="F436">
        <v>80</v>
      </c>
      <c r="G436">
        <v>3.5</v>
      </c>
      <c r="H436" s="18">
        <v>9638</v>
      </c>
      <c r="I436" t="s">
        <v>2340</v>
      </c>
    </row>
    <row r="437" spans="1:9" x14ac:dyDescent="0.25">
      <c r="A437" t="s">
        <v>449</v>
      </c>
      <c r="B437" t="s">
        <v>1609</v>
      </c>
      <c r="C437" t="s">
        <v>9</v>
      </c>
      <c r="D437">
        <v>329</v>
      </c>
      <c r="E437" s="9">
        <v>399</v>
      </c>
      <c r="F437">
        <v>18</v>
      </c>
      <c r="G437">
        <v>3.6</v>
      </c>
      <c r="H437" s="18">
        <v>33735</v>
      </c>
      <c r="I437" t="s">
        <v>2340</v>
      </c>
    </row>
    <row r="438" spans="1:9" x14ac:dyDescent="0.25">
      <c r="A438" t="s">
        <v>450</v>
      </c>
      <c r="B438" t="s">
        <v>1610</v>
      </c>
      <c r="C438" t="s">
        <v>9</v>
      </c>
      <c r="D438">
        <v>139</v>
      </c>
      <c r="E438" s="9">
        <v>299</v>
      </c>
      <c r="F438">
        <v>54</v>
      </c>
      <c r="G438">
        <v>3.8</v>
      </c>
      <c r="H438" s="18">
        <v>3044</v>
      </c>
      <c r="I438" t="s">
        <v>2340</v>
      </c>
    </row>
    <row r="439" spans="1:9" x14ac:dyDescent="0.25">
      <c r="A439" t="s">
        <v>451</v>
      </c>
      <c r="B439" t="s">
        <v>1611</v>
      </c>
      <c r="C439" t="s">
        <v>10</v>
      </c>
      <c r="D439">
        <v>1199</v>
      </c>
      <c r="E439" s="9">
        <v>2499</v>
      </c>
      <c r="F439">
        <v>52</v>
      </c>
      <c r="G439">
        <v>4</v>
      </c>
      <c r="H439" s="18">
        <v>33584</v>
      </c>
      <c r="I439" t="s">
        <v>2339</v>
      </c>
    </row>
    <row r="440" spans="1:9" x14ac:dyDescent="0.25">
      <c r="A440" t="s">
        <v>452</v>
      </c>
      <c r="B440" t="s">
        <v>1612</v>
      </c>
      <c r="C440" t="s">
        <v>10</v>
      </c>
      <c r="D440">
        <v>1049</v>
      </c>
      <c r="E440" s="9">
        <v>2299</v>
      </c>
      <c r="F440">
        <v>54</v>
      </c>
      <c r="G440">
        <v>3.9</v>
      </c>
      <c r="H440" s="18">
        <v>1779</v>
      </c>
      <c r="I440" t="s">
        <v>2339</v>
      </c>
    </row>
    <row r="441" spans="1:9" x14ac:dyDescent="0.25">
      <c r="A441" t="s">
        <v>453</v>
      </c>
      <c r="B441" t="s">
        <v>1613</v>
      </c>
      <c r="C441" t="s">
        <v>10</v>
      </c>
      <c r="D441">
        <v>225</v>
      </c>
      <c r="E441" s="9">
        <v>250</v>
      </c>
      <c r="F441">
        <v>10</v>
      </c>
      <c r="G441">
        <v>4.4000000000000004</v>
      </c>
      <c r="H441" s="18">
        <v>26556</v>
      </c>
      <c r="I441" t="s">
        <v>2340</v>
      </c>
    </row>
    <row r="442" spans="1:9" x14ac:dyDescent="0.25">
      <c r="A442" t="s">
        <v>454</v>
      </c>
      <c r="B442" t="s">
        <v>1614</v>
      </c>
      <c r="C442" t="s">
        <v>9</v>
      </c>
      <c r="D442">
        <v>656</v>
      </c>
      <c r="E442" s="9">
        <v>1499</v>
      </c>
      <c r="F442">
        <v>56</v>
      </c>
      <c r="G442">
        <v>4.3</v>
      </c>
      <c r="H442" s="18">
        <v>25903</v>
      </c>
      <c r="I442" t="s">
        <v>2336</v>
      </c>
    </row>
    <row r="443" spans="1:9" x14ac:dyDescent="0.25">
      <c r="A443" t="s">
        <v>455</v>
      </c>
      <c r="B443" t="s">
        <v>1615</v>
      </c>
      <c r="C443" t="s">
        <v>9</v>
      </c>
      <c r="D443">
        <v>1109</v>
      </c>
      <c r="E443" s="9">
        <v>2800</v>
      </c>
      <c r="F443">
        <v>60</v>
      </c>
      <c r="G443">
        <v>4.3</v>
      </c>
      <c r="H443" s="18">
        <v>53464</v>
      </c>
      <c r="I443" t="s">
        <v>2339</v>
      </c>
    </row>
    <row r="444" spans="1:9" x14ac:dyDescent="0.25">
      <c r="A444" t="s">
        <v>456</v>
      </c>
      <c r="B444" t="s">
        <v>1616</v>
      </c>
      <c r="C444" t="s">
        <v>9</v>
      </c>
      <c r="D444">
        <v>169</v>
      </c>
      <c r="E444" s="9">
        <v>299</v>
      </c>
      <c r="F444">
        <v>43</v>
      </c>
      <c r="G444">
        <v>4.4000000000000004</v>
      </c>
      <c r="H444" s="18">
        <v>5176</v>
      </c>
      <c r="I444" t="s">
        <v>2340</v>
      </c>
    </row>
    <row r="445" spans="1:9" x14ac:dyDescent="0.25">
      <c r="A445" t="s">
        <v>457</v>
      </c>
      <c r="B445" t="s">
        <v>1617</v>
      </c>
      <c r="C445" t="s">
        <v>9</v>
      </c>
      <c r="D445">
        <v>309</v>
      </c>
      <c r="E445" s="9">
        <v>404</v>
      </c>
      <c r="F445">
        <v>24</v>
      </c>
      <c r="G445">
        <v>4.4000000000000004</v>
      </c>
      <c r="H445" s="18">
        <v>8614</v>
      </c>
      <c r="I445" t="s">
        <v>2340</v>
      </c>
    </row>
    <row r="446" spans="1:9" x14ac:dyDescent="0.25">
      <c r="A446" t="s">
        <v>458</v>
      </c>
      <c r="B446" t="s">
        <v>1618</v>
      </c>
      <c r="C446" t="s">
        <v>10</v>
      </c>
      <c r="D446">
        <v>599</v>
      </c>
      <c r="E446" s="9">
        <v>1399</v>
      </c>
      <c r="F446">
        <v>57</v>
      </c>
      <c r="G446">
        <v>3.8</v>
      </c>
      <c r="H446" s="18">
        <v>60026</v>
      </c>
      <c r="I446" t="s">
        <v>2336</v>
      </c>
    </row>
    <row r="447" spans="1:9" x14ac:dyDescent="0.25">
      <c r="A447" t="s">
        <v>459</v>
      </c>
      <c r="B447" t="s">
        <v>1619</v>
      </c>
      <c r="C447" t="s">
        <v>9</v>
      </c>
      <c r="D447">
        <v>299</v>
      </c>
      <c r="E447" s="9">
        <v>599</v>
      </c>
      <c r="F447">
        <v>50</v>
      </c>
      <c r="G447">
        <v>3.8</v>
      </c>
      <c r="H447" s="18">
        <v>3066</v>
      </c>
      <c r="I447" t="s">
        <v>2336</v>
      </c>
    </row>
    <row r="448" spans="1:9" x14ac:dyDescent="0.25">
      <c r="A448" t="s">
        <v>460</v>
      </c>
      <c r="B448" t="s">
        <v>1620</v>
      </c>
      <c r="C448" t="s">
        <v>9</v>
      </c>
      <c r="D448">
        <v>449</v>
      </c>
      <c r="E448" s="9">
        <v>999</v>
      </c>
      <c r="F448">
        <v>55</v>
      </c>
      <c r="G448">
        <v>4</v>
      </c>
      <c r="H448" s="18">
        <v>2102</v>
      </c>
      <c r="I448" t="s">
        <v>2336</v>
      </c>
    </row>
    <row r="449" spans="1:9" x14ac:dyDescent="0.25">
      <c r="A449" t="s">
        <v>461</v>
      </c>
      <c r="B449" t="s">
        <v>1621</v>
      </c>
      <c r="C449" t="s">
        <v>9</v>
      </c>
      <c r="D449">
        <v>799</v>
      </c>
      <c r="E449" s="9">
        <v>1295</v>
      </c>
      <c r="F449">
        <v>38</v>
      </c>
      <c r="G449">
        <v>4.4000000000000004</v>
      </c>
      <c r="H449" s="18">
        <v>34852</v>
      </c>
      <c r="I449" t="s">
        <v>2336</v>
      </c>
    </row>
    <row r="450" spans="1:9" x14ac:dyDescent="0.25">
      <c r="A450" t="s">
        <v>462</v>
      </c>
      <c r="B450" t="s">
        <v>1622</v>
      </c>
      <c r="C450" t="s">
        <v>411</v>
      </c>
      <c r="D450">
        <v>157</v>
      </c>
      <c r="E450" s="9">
        <v>160</v>
      </c>
      <c r="F450">
        <v>2</v>
      </c>
      <c r="G450">
        <v>4.5</v>
      </c>
      <c r="H450" s="18">
        <v>8618</v>
      </c>
      <c r="I450" t="s">
        <v>2340</v>
      </c>
    </row>
    <row r="451" spans="1:9" x14ac:dyDescent="0.25">
      <c r="A451" t="s">
        <v>463</v>
      </c>
      <c r="B451" t="s">
        <v>1623</v>
      </c>
      <c r="C451" t="s">
        <v>9</v>
      </c>
      <c r="D451">
        <v>599</v>
      </c>
      <c r="E451" s="9">
        <v>899</v>
      </c>
      <c r="F451">
        <v>33</v>
      </c>
      <c r="G451">
        <v>4</v>
      </c>
      <c r="H451" s="18">
        <v>4018</v>
      </c>
      <c r="I451" t="s">
        <v>2336</v>
      </c>
    </row>
    <row r="452" spans="1:9" x14ac:dyDescent="0.25">
      <c r="A452" t="s">
        <v>464</v>
      </c>
      <c r="B452" t="s">
        <v>1624</v>
      </c>
      <c r="C452" t="s">
        <v>10</v>
      </c>
      <c r="D452">
        <v>479</v>
      </c>
      <c r="E452" s="9">
        <v>599</v>
      </c>
      <c r="F452">
        <v>20</v>
      </c>
      <c r="G452">
        <v>4.3</v>
      </c>
      <c r="H452" s="18">
        <v>11687</v>
      </c>
      <c r="I452" t="s">
        <v>2336</v>
      </c>
    </row>
    <row r="453" spans="1:9" x14ac:dyDescent="0.25">
      <c r="A453" t="s">
        <v>465</v>
      </c>
      <c r="B453" t="s">
        <v>1625</v>
      </c>
      <c r="C453" t="s">
        <v>10</v>
      </c>
      <c r="D453">
        <v>1598</v>
      </c>
      <c r="E453" s="9">
        <v>2990</v>
      </c>
      <c r="F453">
        <v>47</v>
      </c>
      <c r="G453">
        <v>3.8</v>
      </c>
      <c r="H453" s="18">
        <v>11015</v>
      </c>
      <c r="I453" t="s">
        <v>2339</v>
      </c>
    </row>
    <row r="454" spans="1:9" x14ac:dyDescent="0.25">
      <c r="A454" t="s">
        <v>466</v>
      </c>
      <c r="B454" t="s">
        <v>1626</v>
      </c>
      <c r="C454" t="s">
        <v>9</v>
      </c>
      <c r="D454">
        <v>599</v>
      </c>
      <c r="E454" s="9">
        <v>899</v>
      </c>
      <c r="F454">
        <v>33</v>
      </c>
      <c r="G454">
        <v>4.3</v>
      </c>
      <c r="H454" s="18">
        <v>95116</v>
      </c>
      <c r="I454" t="s">
        <v>2336</v>
      </c>
    </row>
    <row r="455" spans="1:9" x14ac:dyDescent="0.25">
      <c r="A455" t="s">
        <v>467</v>
      </c>
      <c r="B455" t="s">
        <v>1627</v>
      </c>
      <c r="C455" t="s">
        <v>9</v>
      </c>
      <c r="D455">
        <v>1299</v>
      </c>
      <c r="E455" s="9">
        <v>3000</v>
      </c>
      <c r="F455">
        <v>57</v>
      </c>
      <c r="G455">
        <v>4.3</v>
      </c>
      <c r="H455" s="18">
        <v>23022</v>
      </c>
      <c r="I455" t="s">
        <v>2339</v>
      </c>
    </row>
    <row r="456" spans="1:9" x14ac:dyDescent="0.25">
      <c r="A456" t="s">
        <v>468</v>
      </c>
      <c r="B456" t="s">
        <v>1628</v>
      </c>
      <c r="C456" t="s">
        <v>9</v>
      </c>
      <c r="D456">
        <v>294</v>
      </c>
      <c r="E456" s="9">
        <v>4999</v>
      </c>
      <c r="F456">
        <v>94</v>
      </c>
      <c r="G456">
        <v>4.3</v>
      </c>
      <c r="H456" s="18">
        <v>4426</v>
      </c>
      <c r="I456" t="s">
        <v>2339</v>
      </c>
    </row>
    <row r="457" spans="1:9" x14ac:dyDescent="0.25">
      <c r="A457" t="s">
        <v>469</v>
      </c>
      <c r="B457" t="s">
        <v>1629</v>
      </c>
      <c r="C457" t="s">
        <v>9</v>
      </c>
      <c r="D457">
        <v>828</v>
      </c>
      <c r="E457" s="9">
        <v>861</v>
      </c>
      <c r="F457">
        <v>4</v>
      </c>
      <c r="G457">
        <v>4.2</v>
      </c>
      <c r="H457" s="18">
        <v>4567</v>
      </c>
      <c r="I457" t="s">
        <v>2336</v>
      </c>
    </row>
    <row r="458" spans="1:9" x14ac:dyDescent="0.25">
      <c r="A458" t="s">
        <v>470</v>
      </c>
      <c r="B458" t="s">
        <v>1630</v>
      </c>
      <c r="C458" t="s">
        <v>10</v>
      </c>
      <c r="D458">
        <v>745</v>
      </c>
      <c r="E458" s="9">
        <v>795</v>
      </c>
      <c r="F458">
        <v>6</v>
      </c>
      <c r="G458">
        <v>4</v>
      </c>
      <c r="H458" s="18">
        <v>13797</v>
      </c>
      <c r="I458" t="s">
        <v>2336</v>
      </c>
    </row>
    <row r="459" spans="1:9" x14ac:dyDescent="0.25">
      <c r="A459" t="s">
        <v>471</v>
      </c>
      <c r="B459" t="s">
        <v>1631</v>
      </c>
      <c r="C459" t="s">
        <v>10</v>
      </c>
      <c r="D459">
        <v>1549</v>
      </c>
      <c r="E459" s="9">
        <v>2495</v>
      </c>
      <c r="F459">
        <v>38</v>
      </c>
      <c r="G459">
        <v>4.4000000000000004</v>
      </c>
      <c r="H459" s="18">
        <v>15137</v>
      </c>
      <c r="I459" t="s">
        <v>2339</v>
      </c>
    </row>
    <row r="460" spans="1:9" x14ac:dyDescent="0.25">
      <c r="A460" t="s">
        <v>472</v>
      </c>
      <c r="B460" t="s">
        <v>1632</v>
      </c>
      <c r="C460" t="s">
        <v>9</v>
      </c>
      <c r="D460">
        <v>1469</v>
      </c>
      <c r="E460" s="9">
        <v>2499</v>
      </c>
      <c r="F460">
        <v>41</v>
      </c>
      <c r="G460">
        <v>4.2</v>
      </c>
      <c r="H460" s="18">
        <v>156638</v>
      </c>
      <c r="I460" t="s">
        <v>2339</v>
      </c>
    </row>
    <row r="461" spans="1:9" x14ac:dyDescent="0.25">
      <c r="A461" t="s">
        <v>473</v>
      </c>
      <c r="B461" t="s">
        <v>1633</v>
      </c>
      <c r="C461" t="s">
        <v>411</v>
      </c>
      <c r="D461">
        <v>198</v>
      </c>
      <c r="E461" s="9">
        <v>800</v>
      </c>
      <c r="F461">
        <v>75</v>
      </c>
      <c r="G461">
        <v>4.0999999999999996</v>
      </c>
      <c r="H461" s="18">
        <v>9344</v>
      </c>
      <c r="I461" t="s">
        <v>2336</v>
      </c>
    </row>
    <row r="462" spans="1:9" x14ac:dyDescent="0.25">
      <c r="A462" t="s">
        <v>474</v>
      </c>
      <c r="B462" t="s">
        <v>1634</v>
      </c>
      <c r="C462" t="s">
        <v>10</v>
      </c>
      <c r="D462">
        <v>549</v>
      </c>
      <c r="E462" s="9">
        <v>549</v>
      </c>
      <c r="F462">
        <v>0</v>
      </c>
      <c r="G462">
        <v>4.5</v>
      </c>
      <c r="H462" s="18">
        <v>4875</v>
      </c>
      <c r="I462" t="s">
        <v>2336</v>
      </c>
    </row>
    <row r="463" spans="1:9" x14ac:dyDescent="0.25">
      <c r="A463" t="s">
        <v>475</v>
      </c>
      <c r="B463" t="s">
        <v>1635</v>
      </c>
      <c r="C463" t="s">
        <v>10</v>
      </c>
      <c r="D463">
        <v>12000</v>
      </c>
      <c r="E463" s="9">
        <v>29999</v>
      </c>
      <c r="F463">
        <v>60</v>
      </c>
      <c r="G463">
        <v>4.3</v>
      </c>
      <c r="H463" s="18">
        <v>4744</v>
      </c>
      <c r="I463" t="s">
        <v>2339</v>
      </c>
    </row>
    <row r="464" spans="1:9" x14ac:dyDescent="0.25">
      <c r="A464" t="s">
        <v>476</v>
      </c>
      <c r="B464" t="s">
        <v>1636</v>
      </c>
      <c r="C464" t="s">
        <v>10</v>
      </c>
      <c r="D464">
        <v>1299</v>
      </c>
      <c r="E464" s="9">
        <v>3499</v>
      </c>
      <c r="F464">
        <v>63</v>
      </c>
      <c r="G464">
        <v>3.9</v>
      </c>
      <c r="H464" s="18">
        <v>12452</v>
      </c>
      <c r="I464" t="s">
        <v>2339</v>
      </c>
    </row>
    <row r="465" spans="1:9" x14ac:dyDescent="0.25">
      <c r="A465" t="s">
        <v>477</v>
      </c>
      <c r="B465" t="s">
        <v>1637</v>
      </c>
      <c r="C465" t="s">
        <v>10</v>
      </c>
      <c r="D465">
        <v>269</v>
      </c>
      <c r="E465" s="9">
        <v>315</v>
      </c>
      <c r="F465">
        <v>15</v>
      </c>
      <c r="G465">
        <v>4.5</v>
      </c>
      <c r="H465" s="18">
        <v>17810</v>
      </c>
      <c r="I465" t="s">
        <v>2340</v>
      </c>
    </row>
    <row r="466" spans="1:9" x14ac:dyDescent="0.25">
      <c r="A466" t="s">
        <v>478</v>
      </c>
      <c r="B466" t="s">
        <v>1638</v>
      </c>
      <c r="C466" t="s">
        <v>10</v>
      </c>
      <c r="D466">
        <v>799</v>
      </c>
      <c r="E466" s="9">
        <v>1499</v>
      </c>
      <c r="F466">
        <v>47</v>
      </c>
      <c r="G466">
        <v>4.0999999999999996</v>
      </c>
      <c r="H466" s="18">
        <v>53648</v>
      </c>
      <c r="I466" t="s">
        <v>2336</v>
      </c>
    </row>
    <row r="467" spans="1:9" x14ac:dyDescent="0.25">
      <c r="A467" t="s">
        <v>479</v>
      </c>
      <c r="B467" t="s">
        <v>1639</v>
      </c>
      <c r="C467" t="s">
        <v>9</v>
      </c>
      <c r="D467">
        <v>6299</v>
      </c>
      <c r="E467" s="9">
        <v>13750</v>
      </c>
      <c r="F467">
        <v>54</v>
      </c>
      <c r="G467">
        <v>4.2</v>
      </c>
      <c r="H467" s="18">
        <v>2014</v>
      </c>
      <c r="I467" t="s">
        <v>2339</v>
      </c>
    </row>
    <row r="468" spans="1:9" x14ac:dyDescent="0.25">
      <c r="A468" t="s">
        <v>480</v>
      </c>
      <c r="B468" t="s">
        <v>1640</v>
      </c>
      <c r="C468" t="s">
        <v>10</v>
      </c>
      <c r="D468">
        <v>571</v>
      </c>
      <c r="E468" s="9">
        <v>999</v>
      </c>
      <c r="F468">
        <v>43</v>
      </c>
      <c r="G468">
        <v>4.3</v>
      </c>
      <c r="H468" s="18">
        <v>38221</v>
      </c>
      <c r="I468" t="s">
        <v>2336</v>
      </c>
    </row>
    <row r="469" spans="1:9" x14ac:dyDescent="0.25">
      <c r="A469" t="s">
        <v>481</v>
      </c>
      <c r="B469" t="s">
        <v>1641</v>
      </c>
      <c r="C469" t="s">
        <v>10</v>
      </c>
      <c r="D469">
        <v>549</v>
      </c>
      <c r="E469" s="9">
        <v>999</v>
      </c>
      <c r="F469">
        <v>45</v>
      </c>
      <c r="G469">
        <v>3.9</v>
      </c>
      <c r="H469" s="18">
        <v>64705</v>
      </c>
      <c r="I469" t="s">
        <v>2336</v>
      </c>
    </row>
    <row r="470" spans="1:9" x14ac:dyDescent="0.25">
      <c r="A470" t="s">
        <v>482</v>
      </c>
      <c r="B470" t="s">
        <v>1642</v>
      </c>
      <c r="C470" t="s">
        <v>9</v>
      </c>
      <c r="D470">
        <v>448</v>
      </c>
      <c r="E470" s="9">
        <v>699</v>
      </c>
      <c r="F470">
        <v>36</v>
      </c>
      <c r="G470">
        <v>3.9</v>
      </c>
      <c r="H470" s="18">
        <v>17348</v>
      </c>
      <c r="I470" t="s">
        <v>2336</v>
      </c>
    </row>
    <row r="471" spans="1:9" x14ac:dyDescent="0.25">
      <c r="A471" t="s">
        <v>483</v>
      </c>
      <c r="B471" t="s">
        <v>1643</v>
      </c>
      <c r="C471" t="s">
        <v>10</v>
      </c>
      <c r="D471">
        <v>1499</v>
      </c>
      <c r="E471" s="9">
        <v>2999</v>
      </c>
      <c r="F471">
        <v>50</v>
      </c>
      <c r="G471">
        <v>3.7</v>
      </c>
      <c r="H471" s="18">
        <v>87798</v>
      </c>
      <c r="I471" t="s">
        <v>2339</v>
      </c>
    </row>
    <row r="472" spans="1:9" x14ac:dyDescent="0.25">
      <c r="A472" t="s">
        <v>484</v>
      </c>
      <c r="B472" t="s">
        <v>1644</v>
      </c>
      <c r="C472" t="s">
        <v>10</v>
      </c>
      <c r="D472">
        <v>299</v>
      </c>
      <c r="E472" s="9">
        <v>499</v>
      </c>
      <c r="F472">
        <v>40</v>
      </c>
      <c r="G472">
        <v>4.2</v>
      </c>
      <c r="H472" s="18">
        <v>24432</v>
      </c>
      <c r="I472" t="s">
        <v>2340</v>
      </c>
    </row>
    <row r="473" spans="1:9" x14ac:dyDescent="0.25">
      <c r="A473" t="s">
        <v>485</v>
      </c>
      <c r="B473" t="s">
        <v>1645</v>
      </c>
      <c r="C473" t="s">
        <v>9</v>
      </c>
      <c r="D473">
        <v>579</v>
      </c>
      <c r="E473" s="9">
        <v>1400</v>
      </c>
      <c r="F473">
        <v>59</v>
      </c>
      <c r="G473">
        <v>4.3</v>
      </c>
      <c r="H473" s="18">
        <v>189104</v>
      </c>
      <c r="I473" t="s">
        <v>2336</v>
      </c>
    </row>
    <row r="474" spans="1:9" x14ac:dyDescent="0.25">
      <c r="A474" t="s">
        <v>486</v>
      </c>
      <c r="B474" t="s">
        <v>1646</v>
      </c>
      <c r="C474" t="s">
        <v>10</v>
      </c>
      <c r="D474">
        <v>2499</v>
      </c>
      <c r="E474" s="9">
        <v>3299</v>
      </c>
      <c r="F474">
        <v>24</v>
      </c>
      <c r="G474">
        <v>4.2</v>
      </c>
      <c r="H474" s="18">
        <v>93112</v>
      </c>
      <c r="I474" t="s">
        <v>2339</v>
      </c>
    </row>
    <row r="475" spans="1:9" x14ac:dyDescent="0.25">
      <c r="A475" t="s">
        <v>487</v>
      </c>
      <c r="B475" t="s">
        <v>1647</v>
      </c>
      <c r="C475" t="s">
        <v>10</v>
      </c>
      <c r="D475">
        <v>1199</v>
      </c>
      <c r="E475" s="9">
        <v>5999</v>
      </c>
      <c r="F475">
        <v>80</v>
      </c>
      <c r="G475">
        <v>3.9</v>
      </c>
      <c r="H475" s="18">
        <v>47521</v>
      </c>
      <c r="I475" t="s">
        <v>2339</v>
      </c>
    </row>
    <row r="476" spans="1:9" x14ac:dyDescent="0.25">
      <c r="A476" t="s">
        <v>488</v>
      </c>
      <c r="B476" t="s">
        <v>1648</v>
      </c>
      <c r="C476" t="s">
        <v>10</v>
      </c>
      <c r="D476">
        <v>399</v>
      </c>
      <c r="E476" s="9">
        <v>499</v>
      </c>
      <c r="F476">
        <v>20</v>
      </c>
      <c r="G476">
        <v>4.3</v>
      </c>
      <c r="H476" s="18">
        <v>27201</v>
      </c>
      <c r="I476" t="s">
        <v>2340</v>
      </c>
    </row>
    <row r="477" spans="1:9" x14ac:dyDescent="0.25">
      <c r="A477" t="s">
        <v>489</v>
      </c>
      <c r="B477" t="s">
        <v>1649</v>
      </c>
      <c r="C477" t="s">
        <v>9</v>
      </c>
      <c r="D477">
        <v>279</v>
      </c>
      <c r="E477" s="9">
        <v>375</v>
      </c>
      <c r="F477">
        <v>26</v>
      </c>
      <c r="G477">
        <v>4.3</v>
      </c>
      <c r="H477" s="18">
        <v>31534</v>
      </c>
      <c r="I477" t="s">
        <v>2340</v>
      </c>
    </row>
    <row r="478" spans="1:9" x14ac:dyDescent="0.25">
      <c r="A478" t="s">
        <v>490</v>
      </c>
      <c r="B478" t="s">
        <v>1650</v>
      </c>
      <c r="C478" t="s">
        <v>10</v>
      </c>
      <c r="D478">
        <v>2499</v>
      </c>
      <c r="E478" s="9">
        <v>4999</v>
      </c>
      <c r="F478">
        <v>50</v>
      </c>
      <c r="G478">
        <v>3.9</v>
      </c>
      <c r="H478" s="18">
        <v>7571</v>
      </c>
      <c r="I478" t="s">
        <v>2339</v>
      </c>
    </row>
    <row r="479" spans="1:9" x14ac:dyDescent="0.25">
      <c r="A479" t="s">
        <v>491</v>
      </c>
      <c r="B479" t="s">
        <v>1651</v>
      </c>
      <c r="C479" t="s">
        <v>411</v>
      </c>
      <c r="D479">
        <v>137</v>
      </c>
      <c r="E479" s="9">
        <v>160</v>
      </c>
      <c r="F479">
        <v>14</v>
      </c>
      <c r="G479">
        <v>4.4000000000000004</v>
      </c>
      <c r="H479" s="18">
        <v>6537</v>
      </c>
      <c r="I479" t="s">
        <v>2340</v>
      </c>
    </row>
    <row r="480" spans="1:9" x14ac:dyDescent="0.25">
      <c r="A480" t="s">
        <v>492</v>
      </c>
      <c r="B480" t="s">
        <v>1652</v>
      </c>
      <c r="C480" t="s">
        <v>9</v>
      </c>
      <c r="D480">
        <v>299</v>
      </c>
      <c r="E480" s="9">
        <v>499</v>
      </c>
      <c r="F480">
        <v>40</v>
      </c>
      <c r="G480">
        <v>4.5</v>
      </c>
      <c r="H480" s="18">
        <v>21010</v>
      </c>
      <c r="I480" t="s">
        <v>2340</v>
      </c>
    </row>
    <row r="481" spans="1:9" x14ac:dyDescent="0.25">
      <c r="A481" t="s">
        <v>493</v>
      </c>
      <c r="B481" t="s">
        <v>1653</v>
      </c>
      <c r="C481" t="s">
        <v>10</v>
      </c>
      <c r="D481">
        <v>1799</v>
      </c>
      <c r="E481" s="9">
        <v>3999</v>
      </c>
      <c r="F481">
        <v>55</v>
      </c>
      <c r="G481">
        <v>3.9</v>
      </c>
      <c r="H481" s="18">
        <v>3517</v>
      </c>
      <c r="I481" t="s">
        <v>2339</v>
      </c>
    </row>
    <row r="482" spans="1:9" x14ac:dyDescent="0.25">
      <c r="A482" t="s">
        <v>494</v>
      </c>
      <c r="B482" t="s">
        <v>1654</v>
      </c>
      <c r="C482" t="s">
        <v>10</v>
      </c>
      <c r="D482">
        <v>1999</v>
      </c>
      <c r="E482" s="9">
        <v>2999</v>
      </c>
      <c r="F482">
        <v>33</v>
      </c>
      <c r="G482">
        <v>4.3</v>
      </c>
      <c r="H482" s="18">
        <v>63899</v>
      </c>
      <c r="I482" t="s">
        <v>2339</v>
      </c>
    </row>
    <row r="483" spans="1:9" x14ac:dyDescent="0.25">
      <c r="A483" t="s">
        <v>495</v>
      </c>
      <c r="B483" t="s">
        <v>1655</v>
      </c>
      <c r="C483" t="s">
        <v>9</v>
      </c>
      <c r="D483">
        <v>399</v>
      </c>
      <c r="E483" s="9">
        <v>1499</v>
      </c>
      <c r="F483">
        <v>73</v>
      </c>
      <c r="G483">
        <v>4.0999999999999996</v>
      </c>
      <c r="H483" s="18">
        <v>5730</v>
      </c>
      <c r="I483" t="s">
        <v>2336</v>
      </c>
    </row>
    <row r="484" spans="1:9" x14ac:dyDescent="0.25">
      <c r="A484" t="s">
        <v>496</v>
      </c>
      <c r="B484" t="s">
        <v>1656</v>
      </c>
      <c r="C484" t="s">
        <v>9</v>
      </c>
      <c r="D484">
        <v>1699</v>
      </c>
      <c r="E484" s="9">
        <v>3999</v>
      </c>
      <c r="F484">
        <v>58</v>
      </c>
      <c r="G484">
        <v>4.2</v>
      </c>
      <c r="H484" s="18">
        <v>25488</v>
      </c>
      <c r="I484" t="s">
        <v>2339</v>
      </c>
    </row>
    <row r="485" spans="1:9" x14ac:dyDescent="0.25">
      <c r="A485" t="s">
        <v>497</v>
      </c>
      <c r="B485" t="s">
        <v>1657</v>
      </c>
      <c r="C485" t="s">
        <v>9</v>
      </c>
      <c r="D485">
        <v>699</v>
      </c>
      <c r="E485" s="9">
        <v>995</v>
      </c>
      <c r="F485">
        <v>30</v>
      </c>
      <c r="G485">
        <v>4.5</v>
      </c>
      <c r="H485" s="18">
        <v>54405</v>
      </c>
      <c r="I485" t="s">
        <v>2336</v>
      </c>
    </row>
    <row r="486" spans="1:9" x14ac:dyDescent="0.25">
      <c r="A486" t="s">
        <v>498</v>
      </c>
      <c r="B486" t="s">
        <v>1658</v>
      </c>
      <c r="C486" t="s">
        <v>9</v>
      </c>
      <c r="D486">
        <v>1149</v>
      </c>
      <c r="E486" s="9">
        <v>1699</v>
      </c>
      <c r="F486">
        <v>32</v>
      </c>
      <c r="G486">
        <v>4.2</v>
      </c>
      <c r="H486" s="18">
        <v>122478</v>
      </c>
      <c r="I486" t="s">
        <v>2336</v>
      </c>
    </row>
    <row r="487" spans="1:9" x14ac:dyDescent="0.25">
      <c r="A487" t="s">
        <v>499</v>
      </c>
      <c r="B487" t="s">
        <v>1659</v>
      </c>
      <c r="C487" t="s">
        <v>9</v>
      </c>
      <c r="D487">
        <v>1495</v>
      </c>
      <c r="E487" s="9">
        <v>1995</v>
      </c>
      <c r="F487">
        <v>25</v>
      </c>
      <c r="G487">
        <v>4.3</v>
      </c>
      <c r="H487" s="18">
        <v>7241</v>
      </c>
      <c r="I487" t="s">
        <v>2336</v>
      </c>
    </row>
    <row r="488" spans="1:9" x14ac:dyDescent="0.25">
      <c r="A488" t="s">
        <v>500</v>
      </c>
      <c r="B488" t="s">
        <v>1660</v>
      </c>
      <c r="C488" t="s">
        <v>9</v>
      </c>
      <c r="D488">
        <v>849</v>
      </c>
      <c r="E488" s="9">
        <v>4999</v>
      </c>
      <c r="F488">
        <v>83</v>
      </c>
      <c r="G488">
        <v>4</v>
      </c>
      <c r="H488" s="18">
        <v>20457</v>
      </c>
      <c r="I488" t="s">
        <v>2339</v>
      </c>
    </row>
    <row r="489" spans="1:9" x14ac:dyDescent="0.25">
      <c r="A489" t="s">
        <v>501</v>
      </c>
      <c r="B489" t="s">
        <v>1661</v>
      </c>
      <c r="C489" t="s">
        <v>411</v>
      </c>
      <c r="D489">
        <v>440</v>
      </c>
      <c r="E489" s="9">
        <v>440</v>
      </c>
      <c r="F489">
        <v>0</v>
      </c>
      <c r="G489">
        <v>4.5</v>
      </c>
      <c r="H489" s="18">
        <v>8610</v>
      </c>
      <c r="I489" t="s">
        <v>2340</v>
      </c>
    </row>
    <row r="490" spans="1:9" x14ac:dyDescent="0.25">
      <c r="A490" t="s">
        <v>502</v>
      </c>
      <c r="B490" t="s">
        <v>1662</v>
      </c>
      <c r="C490" t="s">
        <v>9</v>
      </c>
      <c r="D490">
        <v>599</v>
      </c>
      <c r="E490" s="9">
        <v>3999</v>
      </c>
      <c r="F490">
        <v>85</v>
      </c>
      <c r="G490">
        <v>3.9</v>
      </c>
      <c r="H490" s="18">
        <v>1087</v>
      </c>
      <c r="I490" t="s">
        <v>2339</v>
      </c>
    </row>
    <row r="491" spans="1:9" x14ac:dyDescent="0.25">
      <c r="A491" t="s">
        <v>503</v>
      </c>
      <c r="B491" t="s">
        <v>1663</v>
      </c>
      <c r="C491" t="s">
        <v>9</v>
      </c>
      <c r="D491">
        <v>149</v>
      </c>
      <c r="E491" s="9">
        <v>399</v>
      </c>
      <c r="F491">
        <v>63</v>
      </c>
      <c r="G491">
        <v>4</v>
      </c>
      <c r="H491" s="18">
        <v>1540</v>
      </c>
      <c r="I491" t="s">
        <v>2340</v>
      </c>
    </row>
    <row r="492" spans="1:9" x14ac:dyDescent="0.25">
      <c r="A492" t="s">
        <v>504</v>
      </c>
      <c r="B492" t="s">
        <v>1664</v>
      </c>
      <c r="C492" t="s">
        <v>9</v>
      </c>
      <c r="D492">
        <v>289</v>
      </c>
      <c r="E492" s="9">
        <v>999</v>
      </c>
      <c r="F492">
        <v>71</v>
      </c>
      <c r="G492">
        <v>4.0999999999999996</v>
      </c>
      <c r="H492" s="18">
        <v>401</v>
      </c>
      <c r="I492" t="s">
        <v>2336</v>
      </c>
    </row>
    <row r="493" spans="1:9" x14ac:dyDescent="0.25">
      <c r="A493" t="s">
        <v>505</v>
      </c>
      <c r="B493" t="s">
        <v>1665</v>
      </c>
      <c r="C493" t="s">
        <v>9</v>
      </c>
      <c r="D493">
        <v>179</v>
      </c>
      <c r="E493" s="9">
        <v>499</v>
      </c>
      <c r="F493">
        <v>64</v>
      </c>
      <c r="G493">
        <v>3.4</v>
      </c>
      <c r="H493" s="18">
        <v>9385</v>
      </c>
      <c r="I493" t="s">
        <v>2340</v>
      </c>
    </row>
    <row r="494" spans="1:9" x14ac:dyDescent="0.25">
      <c r="A494" t="s">
        <v>506</v>
      </c>
      <c r="B494" t="s">
        <v>1666</v>
      </c>
      <c r="C494" t="s">
        <v>10</v>
      </c>
      <c r="D494">
        <v>1499</v>
      </c>
      <c r="E494" s="9">
        <v>4999</v>
      </c>
      <c r="F494">
        <v>70</v>
      </c>
      <c r="G494">
        <v>4</v>
      </c>
      <c r="H494" s="18">
        <v>92588</v>
      </c>
      <c r="I494" t="s">
        <v>2339</v>
      </c>
    </row>
    <row r="495" spans="1:9" x14ac:dyDescent="0.25">
      <c r="A495" t="s">
        <v>507</v>
      </c>
      <c r="B495" t="s">
        <v>1667</v>
      </c>
      <c r="C495" t="s">
        <v>10</v>
      </c>
      <c r="D495">
        <v>399</v>
      </c>
      <c r="E495" s="9">
        <v>699</v>
      </c>
      <c r="F495">
        <v>43</v>
      </c>
      <c r="G495">
        <v>3.4</v>
      </c>
      <c r="H495" s="18">
        <v>3454</v>
      </c>
      <c r="I495" t="s">
        <v>2336</v>
      </c>
    </row>
    <row r="496" spans="1:9" x14ac:dyDescent="0.25">
      <c r="A496" t="s">
        <v>508</v>
      </c>
      <c r="B496" t="s">
        <v>1668</v>
      </c>
      <c r="C496" t="s">
        <v>9</v>
      </c>
      <c r="D496">
        <v>599</v>
      </c>
      <c r="E496" s="9">
        <v>799</v>
      </c>
      <c r="F496">
        <v>25</v>
      </c>
      <c r="G496">
        <v>4.3</v>
      </c>
      <c r="H496" s="18">
        <v>15790</v>
      </c>
      <c r="I496" t="s">
        <v>2336</v>
      </c>
    </row>
    <row r="497" spans="1:9" x14ac:dyDescent="0.25">
      <c r="A497" t="s">
        <v>509</v>
      </c>
      <c r="B497" t="s">
        <v>1669</v>
      </c>
      <c r="C497" t="s">
        <v>9</v>
      </c>
      <c r="D497">
        <v>949</v>
      </c>
      <c r="E497" s="9">
        <v>2000</v>
      </c>
      <c r="F497">
        <v>53</v>
      </c>
      <c r="G497">
        <v>3.9</v>
      </c>
      <c r="H497" s="18">
        <v>14969</v>
      </c>
      <c r="I497" t="s">
        <v>2339</v>
      </c>
    </row>
    <row r="498" spans="1:9" x14ac:dyDescent="0.25">
      <c r="A498" t="s">
        <v>510</v>
      </c>
      <c r="B498" t="s">
        <v>1670</v>
      </c>
      <c r="C498" t="s">
        <v>10</v>
      </c>
      <c r="D498">
        <v>2499</v>
      </c>
      <c r="E498" s="9">
        <v>9999</v>
      </c>
      <c r="F498">
        <v>75</v>
      </c>
      <c r="G498">
        <v>4.0999999999999996</v>
      </c>
      <c r="H498" s="18">
        <v>42139</v>
      </c>
      <c r="I498" t="s">
        <v>2339</v>
      </c>
    </row>
    <row r="499" spans="1:9" x14ac:dyDescent="0.25">
      <c r="A499" t="s">
        <v>511</v>
      </c>
      <c r="B499" t="s">
        <v>1671</v>
      </c>
      <c r="C499" t="s">
        <v>10</v>
      </c>
      <c r="D499">
        <v>159</v>
      </c>
      <c r="E499" s="9">
        <v>180</v>
      </c>
      <c r="F499">
        <v>12</v>
      </c>
      <c r="G499">
        <v>4.3</v>
      </c>
      <c r="H499" s="18">
        <v>989</v>
      </c>
      <c r="I499" t="s">
        <v>2340</v>
      </c>
    </row>
    <row r="500" spans="1:9" x14ac:dyDescent="0.25">
      <c r="A500" t="s">
        <v>512</v>
      </c>
      <c r="B500" t="s">
        <v>1672</v>
      </c>
      <c r="C500" t="s">
        <v>10</v>
      </c>
      <c r="D500">
        <v>1329</v>
      </c>
      <c r="E500" s="9">
        <v>2900</v>
      </c>
      <c r="F500">
        <v>54</v>
      </c>
      <c r="G500">
        <v>4.5</v>
      </c>
      <c r="H500" s="18">
        <v>19624</v>
      </c>
      <c r="I500" t="s">
        <v>2339</v>
      </c>
    </row>
    <row r="501" spans="1:9" x14ac:dyDescent="0.25">
      <c r="A501" t="s">
        <v>513</v>
      </c>
      <c r="B501" t="s">
        <v>1673</v>
      </c>
      <c r="C501" t="s">
        <v>9</v>
      </c>
      <c r="D501">
        <v>570</v>
      </c>
      <c r="E501" s="9">
        <v>999</v>
      </c>
      <c r="F501">
        <v>43</v>
      </c>
      <c r="G501">
        <v>4.2</v>
      </c>
      <c r="H501" s="18">
        <v>3201</v>
      </c>
      <c r="I501" t="s">
        <v>2336</v>
      </c>
    </row>
    <row r="502" spans="1:9" x14ac:dyDescent="0.25">
      <c r="A502" t="s">
        <v>514</v>
      </c>
      <c r="B502" t="s">
        <v>1674</v>
      </c>
      <c r="C502" t="s">
        <v>10</v>
      </c>
      <c r="D502">
        <v>899</v>
      </c>
      <c r="E502" s="9">
        <v>1999</v>
      </c>
      <c r="F502">
        <v>55</v>
      </c>
      <c r="G502">
        <v>4.0999999999999996</v>
      </c>
      <c r="H502" s="18">
        <v>30469</v>
      </c>
      <c r="I502" t="s">
        <v>2336</v>
      </c>
    </row>
    <row r="503" spans="1:9" x14ac:dyDescent="0.25">
      <c r="A503" t="s">
        <v>515</v>
      </c>
      <c r="B503" t="s">
        <v>1675</v>
      </c>
      <c r="C503" t="s">
        <v>9</v>
      </c>
      <c r="D503">
        <v>449</v>
      </c>
      <c r="E503" s="9">
        <v>999</v>
      </c>
      <c r="F503">
        <v>55</v>
      </c>
      <c r="G503">
        <v>4.4000000000000004</v>
      </c>
      <c r="H503" s="18">
        <v>9940</v>
      </c>
      <c r="I503" t="s">
        <v>2336</v>
      </c>
    </row>
    <row r="504" spans="1:9" x14ac:dyDescent="0.25">
      <c r="A504" t="s">
        <v>1173</v>
      </c>
      <c r="B504" t="s">
        <v>1676</v>
      </c>
      <c r="C504" t="s">
        <v>9</v>
      </c>
      <c r="D504">
        <v>549</v>
      </c>
      <c r="E504" s="9">
        <v>999</v>
      </c>
      <c r="F504">
        <v>45</v>
      </c>
      <c r="G504">
        <v>4.3</v>
      </c>
      <c r="H504" s="18">
        <v>7758</v>
      </c>
      <c r="I504" t="s">
        <v>2336</v>
      </c>
    </row>
    <row r="505" spans="1:9" x14ac:dyDescent="0.25">
      <c r="A505" t="s">
        <v>516</v>
      </c>
      <c r="B505" t="s">
        <v>1677</v>
      </c>
      <c r="C505" t="s">
        <v>9</v>
      </c>
      <c r="D505">
        <v>1529</v>
      </c>
      <c r="E505" s="9">
        <v>2399</v>
      </c>
      <c r="F505">
        <v>36</v>
      </c>
      <c r="G505">
        <v>4.3</v>
      </c>
      <c r="H505" s="18">
        <v>68409</v>
      </c>
      <c r="I505" t="s">
        <v>2339</v>
      </c>
    </row>
    <row r="506" spans="1:9" x14ac:dyDescent="0.25">
      <c r="A506" t="s">
        <v>517</v>
      </c>
      <c r="B506" t="s">
        <v>518</v>
      </c>
      <c r="C506" t="s">
        <v>411</v>
      </c>
      <c r="D506">
        <v>100</v>
      </c>
      <c r="E506" s="9">
        <v>100</v>
      </c>
      <c r="F506">
        <v>0</v>
      </c>
      <c r="G506">
        <v>4.3</v>
      </c>
      <c r="H506" s="18">
        <v>3095</v>
      </c>
      <c r="I506" t="s">
        <v>2340</v>
      </c>
    </row>
    <row r="507" spans="1:9" x14ac:dyDescent="0.25">
      <c r="A507" t="s">
        <v>519</v>
      </c>
      <c r="B507" t="s">
        <v>1678</v>
      </c>
      <c r="C507" t="s">
        <v>9</v>
      </c>
      <c r="D507">
        <v>299</v>
      </c>
      <c r="E507" s="9">
        <v>1499</v>
      </c>
      <c r="F507">
        <v>80</v>
      </c>
      <c r="G507">
        <v>4.2</v>
      </c>
      <c r="H507" s="18">
        <v>903</v>
      </c>
      <c r="I507" t="s">
        <v>2336</v>
      </c>
    </row>
    <row r="508" spans="1:9" x14ac:dyDescent="0.25">
      <c r="A508" t="s">
        <v>520</v>
      </c>
      <c r="B508" t="s">
        <v>1679</v>
      </c>
      <c r="C508" t="s">
        <v>9</v>
      </c>
      <c r="D508">
        <v>1295</v>
      </c>
      <c r="E508" s="9">
        <v>1795</v>
      </c>
      <c r="F508">
        <v>28</v>
      </c>
      <c r="G508">
        <v>4.0999999999999996</v>
      </c>
      <c r="H508" s="18">
        <v>25771</v>
      </c>
      <c r="I508" t="s">
        <v>2336</v>
      </c>
    </row>
    <row r="509" spans="1:9" x14ac:dyDescent="0.25">
      <c r="A509" t="s">
        <v>521</v>
      </c>
      <c r="B509" t="s">
        <v>1680</v>
      </c>
      <c r="C509" t="s">
        <v>10</v>
      </c>
      <c r="D509">
        <v>699</v>
      </c>
      <c r="E509" s="9">
        <v>999</v>
      </c>
      <c r="F509">
        <v>30</v>
      </c>
      <c r="G509">
        <v>4.0999999999999996</v>
      </c>
      <c r="H509" s="18">
        <v>273189</v>
      </c>
      <c r="I509" t="s">
        <v>2336</v>
      </c>
    </row>
    <row r="510" spans="1:9" x14ac:dyDescent="0.25">
      <c r="A510" t="s">
        <v>522</v>
      </c>
      <c r="B510" t="s">
        <v>1681</v>
      </c>
      <c r="C510" t="s">
        <v>10</v>
      </c>
      <c r="D510">
        <v>190</v>
      </c>
      <c r="E510" s="9">
        <v>220</v>
      </c>
      <c r="F510">
        <v>14</v>
      </c>
      <c r="G510">
        <v>4.4000000000000004</v>
      </c>
      <c r="H510" s="18">
        <v>2866</v>
      </c>
      <c r="I510" t="s">
        <v>2340</v>
      </c>
    </row>
    <row r="511" spans="1:9" x14ac:dyDescent="0.25">
      <c r="A511" t="s">
        <v>523</v>
      </c>
      <c r="B511" t="s">
        <v>1682</v>
      </c>
      <c r="C511" t="s">
        <v>9</v>
      </c>
      <c r="D511">
        <v>1299</v>
      </c>
      <c r="E511" s="9">
        <v>1599</v>
      </c>
      <c r="F511">
        <v>19</v>
      </c>
      <c r="G511">
        <v>4.3</v>
      </c>
      <c r="H511" s="18">
        <v>27223</v>
      </c>
      <c r="I511" t="s">
        <v>2336</v>
      </c>
    </row>
    <row r="512" spans="1:9" x14ac:dyDescent="0.25">
      <c r="A512" t="s">
        <v>524</v>
      </c>
      <c r="B512" t="s">
        <v>1683</v>
      </c>
      <c r="C512" t="s">
        <v>9</v>
      </c>
      <c r="D512">
        <v>729</v>
      </c>
      <c r="E512" s="9">
        <v>1650</v>
      </c>
      <c r="F512">
        <v>56</v>
      </c>
      <c r="G512">
        <v>4.3</v>
      </c>
      <c r="H512" s="18">
        <v>82356</v>
      </c>
      <c r="I512" t="s">
        <v>2336</v>
      </c>
    </row>
    <row r="513" spans="1:9" x14ac:dyDescent="0.25">
      <c r="A513" t="s">
        <v>525</v>
      </c>
      <c r="B513" t="s">
        <v>1684</v>
      </c>
      <c r="C513" t="s">
        <v>411</v>
      </c>
      <c r="D513">
        <v>480</v>
      </c>
      <c r="E513" s="9">
        <v>600</v>
      </c>
      <c r="F513">
        <v>20</v>
      </c>
      <c r="G513">
        <v>4.3</v>
      </c>
      <c r="H513" s="18">
        <v>5719</v>
      </c>
      <c r="I513" t="s">
        <v>2336</v>
      </c>
    </row>
    <row r="514" spans="1:9" x14ac:dyDescent="0.25">
      <c r="A514" t="s">
        <v>526</v>
      </c>
      <c r="B514" t="s">
        <v>1685</v>
      </c>
      <c r="C514" t="s">
        <v>9</v>
      </c>
      <c r="D514">
        <v>999</v>
      </c>
      <c r="E514" s="9">
        <v>2499</v>
      </c>
      <c r="F514">
        <v>60</v>
      </c>
      <c r="G514">
        <v>4.3</v>
      </c>
      <c r="H514" s="18">
        <v>1690</v>
      </c>
      <c r="I514" t="s">
        <v>2339</v>
      </c>
    </row>
    <row r="515" spans="1:9" x14ac:dyDescent="0.25">
      <c r="A515" t="s">
        <v>527</v>
      </c>
      <c r="B515" t="s">
        <v>1686</v>
      </c>
      <c r="C515" t="s">
        <v>9</v>
      </c>
      <c r="D515">
        <v>238</v>
      </c>
      <c r="E515" s="9">
        <v>699</v>
      </c>
      <c r="F515">
        <v>66</v>
      </c>
      <c r="G515">
        <v>4.4000000000000004</v>
      </c>
      <c r="H515" s="18">
        <v>8372</v>
      </c>
      <c r="I515" t="s">
        <v>2336</v>
      </c>
    </row>
    <row r="516" spans="1:9" x14ac:dyDescent="0.25">
      <c r="A516" t="s">
        <v>528</v>
      </c>
      <c r="B516" t="s">
        <v>1687</v>
      </c>
      <c r="C516" t="s">
        <v>9</v>
      </c>
      <c r="D516">
        <v>1349</v>
      </c>
      <c r="E516" s="9">
        <v>2198</v>
      </c>
      <c r="F516">
        <v>39</v>
      </c>
      <c r="G516">
        <v>4</v>
      </c>
      <c r="H516" s="18">
        <v>7113</v>
      </c>
      <c r="I516" t="s">
        <v>2339</v>
      </c>
    </row>
    <row r="517" spans="1:9" x14ac:dyDescent="0.25">
      <c r="A517" t="s">
        <v>529</v>
      </c>
      <c r="B517" t="s">
        <v>1688</v>
      </c>
      <c r="C517" t="s">
        <v>9</v>
      </c>
      <c r="D517">
        <v>199</v>
      </c>
      <c r="E517" s="9">
        <v>499</v>
      </c>
      <c r="F517">
        <v>60</v>
      </c>
      <c r="G517">
        <v>3.3</v>
      </c>
      <c r="H517" s="18">
        <v>2804</v>
      </c>
      <c r="I517" t="s">
        <v>2340</v>
      </c>
    </row>
    <row r="518" spans="1:9" x14ac:dyDescent="0.25">
      <c r="A518" t="s">
        <v>530</v>
      </c>
      <c r="B518" t="s">
        <v>1689</v>
      </c>
      <c r="C518" t="s">
        <v>10</v>
      </c>
      <c r="D518">
        <v>1999</v>
      </c>
      <c r="E518" s="9">
        <v>9999</v>
      </c>
      <c r="F518">
        <v>80</v>
      </c>
      <c r="G518">
        <v>3.7</v>
      </c>
      <c r="H518" s="18">
        <v>1986</v>
      </c>
      <c r="I518" t="s">
        <v>2339</v>
      </c>
    </row>
    <row r="519" spans="1:9" x14ac:dyDescent="0.25">
      <c r="A519" t="s">
        <v>531</v>
      </c>
      <c r="B519" t="s">
        <v>1690</v>
      </c>
      <c r="C519" t="s">
        <v>10</v>
      </c>
      <c r="D519">
        <v>99</v>
      </c>
      <c r="E519" s="9">
        <v>499</v>
      </c>
      <c r="F519">
        <v>80</v>
      </c>
      <c r="G519">
        <v>4.0999999999999996</v>
      </c>
      <c r="H519" s="18">
        <v>2451</v>
      </c>
      <c r="I519" t="s">
        <v>2340</v>
      </c>
    </row>
    <row r="520" spans="1:9" x14ac:dyDescent="0.25">
      <c r="A520" t="s">
        <v>532</v>
      </c>
      <c r="B520" t="s">
        <v>1691</v>
      </c>
      <c r="C520" t="s">
        <v>9</v>
      </c>
      <c r="D520">
        <v>499</v>
      </c>
      <c r="E520" s="9">
        <v>1000</v>
      </c>
      <c r="F520">
        <v>50</v>
      </c>
      <c r="G520">
        <v>5</v>
      </c>
      <c r="H520" s="18">
        <v>23</v>
      </c>
      <c r="I520" t="s">
        <v>2336</v>
      </c>
    </row>
    <row r="521" spans="1:9" x14ac:dyDescent="0.25">
      <c r="A521" t="s">
        <v>533</v>
      </c>
      <c r="B521" t="s">
        <v>1692</v>
      </c>
      <c r="C521" t="s">
        <v>9</v>
      </c>
      <c r="D521">
        <v>1792</v>
      </c>
      <c r="E521" s="9">
        <v>3500</v>
      </c>
      <c r="F521">
        <v>49</v>
      </c>
      <c r="G521">
        <v>4.5</v>
      </c>
      <c r="H521" s="18">
        <v>26194</v>
      </c>
      <c r="I521" t="s">
        <v>2339</v>
      </c>
    </row>
    <row r="522" spans="1:9" x14ac:dyDescent="0.25">
      <c r="A522" t="s">
        <v>534</v>
      </c>
      <c r="B522" t="s">
        <v>1693</v>
      </c>
      <c r="C522" t="s">
        <v>9</v>
      </c>
      <c r="D522">
        <v>3299</v>
      </c>
      <c r="E522" s="9">
        <v>4100</v>
      </c>
      <c r="F522">
        <v>20</v>
      </c>
      <c r="G522">
        <v>3.9</v>
      </c>
      <c r="H522" s="18">
        <v>15783</v>
      </c>
      <c r="I522" t="s">
        <v>2339</v>
      </c>
    </row>
    <row r="523" spans="1:9" x14ac:dyDescent="0.25">
      <c r="A523" t="s">
        <v>535</v>
      </c>
      <c r="B523" t="s">
        <v>1694</v>
      </c>
      <c r="C523" t="s">
        <v>411</v>
      </c>
      <c r="D523">
        <v>125</v>
      </c>
      <c r="E523" s="9">
        <v>180</v>
      </c>
      <c r="F523">
        <v>31</v>
      </c>
      <c r="G523">
        <v>4.4000000000000004</v>
      </c>
      <c r="H523" s="18">
        <v>8053</v>
      </c>
      <c r="I523" t="s">
        <v>2340</v>
      </c>
    </row>
    <row r="524" spans="1:9" x14ac:dyDescent="0.25">
      <c r="A524" t="s">
        <v>536</v>
      </c>
      <c r="B524" t="s">
        <v>1695</v>
      </c>
      <c r="C524" t="s">
        <v>9</v>
      </c>
      <c r="D524">
        <v>399</v>
      </c>
      <c r="E524" s="9">
        <v>1190</v>
      </c>
      <c r="F524">
        <v>66</v>
      </c>
      <c r="G524">
        <v>4.0999999999999996</v>
      </c>
      <c r="H524" s="18">
        <v>2809</v>
      </c>
      <c r="I524" t="s">
        <v>2336</v>
      </c>
    </row>
    <row r="525" spans="1:9" x14ac:dyDescent="0.25">
      <c r="A525" t="s">
        <v>537</v>
      </c>
      <c r="B525" t="s">
        <v>1696</v>
      </c>
      <c r="C525" t="s">
        <v>10</v>
      </c>
      <c r="D525">
        <v>1199</v>
      </c>
      <c r="E525" s="9">
        <v>7999</v>
      </c>
      <c r="F525">
        <v>85</v>
      </c>
      <c r="G525">
        <v>3.6</v>
      </c>
      <c r="H525" s="18">
        <v>25910</v>
      </c>
      <c r="I525" t="s">
        <v>2339</v>
      </c>
    </row>
    <row r="526" spans="1:9" x14ac:dyDescent="0.25">
      <c r="A526" t="s">
        <v>538</v>
      </c>
      <c r="B526" t="s">
        <v>1697</v>
      </c>
      <c r="C526" t="s">
        <v>9</v>
      </c>
      <c r="D526">
        <v>235</v>
      </c>
      <c r="E526" s="9">
        <v>1599</v>
      </c>
      <c r="F526">
        <v>85</v>
      </c>
      <c r="G526">
        <v>3.8</v>
      </c>
      <c r="H526" s="18">
        <v>1173</v>
      </c>
      <c r="I526" t="s">
        <v>2336</v>
      </c>
    </row>
    <row r="527" spans="1:9" x14ac:dyDescent="0.25">
      <c r="A527" t="s">
        <v>539</v>
      </c>
      <c r="B527" t="s">
        <v>1698</v>
      </c>
      <c r="C527" t="s">
        <v>9</v>
      </c>
      <c r="D527">
        <v>549</v>
      </c>
      <c r="E527" s="9">
        <v>1999</v>
      </c>
      <c r="F527">
        <v>73</v>
      </c>
      <c r="G527">
        <v>3.6</v>
      </c>
      <c r="H527" s="18">
        <v>6422</v>
      </c>
      <c r="I527" t="s">
        <v>2336</v>
      </c>
    </row>
    <row r="528" spans="1:9" x14ac:dyDescent="0.25">
      <c r="A528" t="s">
        <v>540</v>
      </c>
      <c r="B528" t="s">
        <v>1699</v>
      </c>
      <c r="C528" t="s">
        <v>9</v>
      </c>
      <c r="D528">
        <v>89</v>
      </c>
      <c r="E528" s="9">
        <v>99</v>
      </c>
      <c r="F528">
        <v>10</v>
      </c>
      <c r="G528">
        <v>4.2</v>
      </c>
      <c r="H528" s="18">
        <v>241</v>
      </c>
      <c r="I528" t="s">
        <v>2340</v>
      </c>
    </row>
    <row r="529" spans="1:9" x14ac:dyDescent="0.25">
      <c r="A529" t="s">
        <v>541</v>
      </c>
      <c r="B529" t="s">
        <v>1700</v>
      </c>
      <c r="C529" t="s">
        <v>10</v>
      </c>
      <c r="D529">
        <v>1299</v>
      </c>
      <c r="E529" s="9">
        <v>2999</v>
      </c>
      <c r="F529">
        <v>57</v>
      </c>
      <c r="G529">
        <v>3.8</v>
      </c>
      <c r="H529" s="18">
        <v>14629</v>
      </c>
      <c r="I529" t="s">
        <v>2339</v>
      </c>
    </row>
    <row r="530" spans="1:9" x14ac:dyDescent="0.25">
      <c r="A530" t="s">
        <v>542</v>
      </c>
      <c r="B530" t="s">
        <v>1701</v>
      </c>
      <c r="C530" t="s">
        <v>9</v>
      </c>
      <c r="D530">
        <v>230</v>
      </c>
      <c r="E530" s="9">
        <v>999</v>
      </c>
      <c r="F530">
        <v>77</v>
      </c>
      <c r="G530">
        <v>4.2</v>
      </c>
      <c r="H530" s="18">
        <v>1528</v>
      </c>
      <c r="I530" t="s">
        <v>2336</v>
      </c>
    </row>
    <row r="531" spans="1:9" x14ac:dyDescent="0.25">
      <c r="A531" t="s">
        <v>543</v>
      </c>
      <c r="B531" t="s">
        <v>1702</v>
      </c>
      <c r="C531" t="s">
        <v>10</v>
      </c>
      <c r="D531">
        <v>119</v>
      </c>
      <c r="E531" s="9">
        <v>499</v>
      </c>
      <c r="F531">
        <v>76</v>
      </c>
      <c r="G531">
        <v>4.3</v>
      </c>
      <c r="H531" s="18">
        <v>15032</v>
      </c>
      <c r="I531" t="s">
        <v>2340</v>
      </c>
    </row>
    <row r="532" spans="1:9" x14ac:dyDescent="0.25">
      <c r="A532" t="s">
        <v>544</v>
      </c>
      <c r="B532" t="s">
        <v>1703</v>
      </c>
      <c r="C532" t="s">
        <v>10</v>
      </c>
      <c r="D532">
        <v>449</v>
      </c>
      <c r="E532" s="9">
        <v>800</v>
      </c>
      <c r="F532">
        <v>44</v>
      </c>
      <c r="G532">
        <v>4.4000000000000004</v>
      </c>
      <c r="H532" s="18">
        <v>69585</v>
      </c>
      <c r="I532" t="s">
        <v>2336</v>
      </c>
    </row>
    <row r="533" spans="1:9" x14ac:dyDescent="0.25">
      <c r="A533" t="s">
        <v>545</v>
      </c>
      <c r="B533" t="s">
        <v>1704</v>
      </c>
      <c r="C533" t="s">
        <v>10</v>
      </c>
      <c r="D533">
        <v>1699</v>
      </c>
      <c r="E533" s="9">
        <v>3495</v>
      </c>
      <c r="F533">
        <v>51</v>
      </c>
      <c r="G533">
        <v>4.0999999999999996</v>
      </c>
      <c r="H533" s="18">
        <v>14371</v>
      </c>
      <c r="I533" t="s">
        <v>2339</v>
      </c>
    </row>
    <row r="534" spans="1:9" x14ac:dyDescent="0.25">
      <c r="A534" t="s">
        <v>546</v>
      </c>
      <c r="B534" t="s">
        <v>1705</v>
      </c>
      <c r="C534" t="s">
        <v>411</v>
      </c>
      <c r="D534">
        <v>561</v>
      </c>
      <c r="E534" s="9">
        <v>720</v>
      </c>
      <c r="F534">
        <v>22</v>
      </c>
      <c r="G534">
        <v>4.4000000000000004</v>
      </c>
      <c r="H534" s="18">
        <v>3182</v>
      </c>
      <c r="I534" t="s">
        <v>2336</v>
      </c>
    </row>
    <row r="535" spans="1:9" x14ac:dyDescent="0.25">
      <c r="A535" t="s">
        <v>547</v>
      </c>
      <c r="B535" t="s">
        <v>1706</v>
      </c>
      <c r="C535" t="s">
        <v>9</v>
      </c>
      <c r="D535">
        <v>289</v>
      </c>
      <c r="E535" s="9">
        <v>590</v>
      </c>
      <c r="F535">
        <v>51</v>
      </c>
      <c r="G535">
        <v>4.4000000000000004</v>
      </c>
      <c r="H535" s="18">
        <v>25886</v>
      </c>
      <c r="I535" t="s">
        <v>2336</v>
      </c>
    </row>
    <row r="536" spans="1:9" x14ac:dyDescent="0.25">
      <c r="A536" t="s">
        <v>548</v>
      </c>
      <c r="B536" t="s">
        <v>1707</v>
      </c>
      <c r="C536" t="s">
        <v>9</v>
      </c>
      <c r="D536">
        <v>599</v>
      </c>
      <c r="E536" s="9">
        <v>1999</v>
      </c>
      <c r="F536">
        <v>70</v>
      </c>
      <c r="G536">
        <v>4.4000000000000004</v>
      </c>
      <c r="H536" s="18">
        <v>4736</v>
      </c>
      <c r="I536" t="s">
        <v>2336</v>
      </c>
    </row>
    <row r="537" spans="1:9" x14ac:dyDescent="0.25">
      <c r="A537" t="s">
        <v>549</v>
      </c>
      <c r="B537" t="s">
        <v>1708</v>
      </c>
      <c r="C537" t="s">
        <v>9</v>
      </c>
      <c r="D537">
        <v>5599</v>
      </c>
      <c r="E537" s="9">
        <v>7350</v>
      </c>
      <c r="F537">
        <v>24</v>
      </c>
      <c r="G537">
        <v>4.4000000000000004</v>
      </c>
      <c r="H537" s="18">
        <v>73005</v>
      </c>
      <c r="I537" t="s">
        <v>2339</v>
      </c>
    </row>
    <row r="538" spans="1:9" x14ac:dyDescent="0.25">
      <c r="A538" t="s">
        <v>550</v>
      </c>
      <c r="B538" t="s">
        <v>1709</v>
      </c>
      <c r="C538" t="s">
        <v>9</v>
      </c>
      <c r="D538">
        <v>1990</v>
      </c>
      <c r="E538" s="9">
        <v>2595</v>
      </c>
      <c r="F538">
        <v>23</v>
      </c>
      <c r="G538">
        <v>4.3</v>
      </c>
      <c r="H538" s="18">
        <v>20398</v>
      </c>
      <c r="I538" t="s">
        <v>2339</v>
      </c>
    </row>
    <row r="539" spans="1:9" x14ac:dyDescent="0.25">
      <c r="A539" t="s">
        <v>551</v>
      </c>
      <c r="B539" t="s">
        <v>1710</v>
      </c>
      <c r="C539" t="s">
        <v>9</v>
      </c>
      <c r="D539">
        <v>499</v>
      </c>
      <c r="E539" s="9">
        <v>799</v>
      </c>
      <c r="F539">
        <v>38</v>
      </c>
      <c r="G539">
        <v>4.3</v>
      </c>
      <c r="H539" s="18">
        <v>2125</v>
      </c>
      <c r="I539" t="s">
        <v>2336</v>
      </c>
    </row>
    <row r="540" spans="1:9" x14ac:dyDescent="0.25">
      <c r="A540" t="s">
        <v>1174</v>
      </c>
      <c r="B540" t="s">
        <v>1711</v>
      </c>
      <c r="C540" t="s">
        <v>9</v>
      </c>
      <c r="D540">
        <v>999</v>
      </c>
      <c r="E540" s="9">
        <v>1999</v>
      </c>
      <c r="F540">
        <v>50</v>
      </c>
      <c r="G540">
        <v>4.2</v>
      </c>
      <c r="H540" s="18">
        <v>27441</v>
      </c>
      <c r="I540" t="s">
        <v>2336</v>
      </c>
    </row>
    <row r="541" spans="1:9" x14ac:dyDescent="0.25">
      <c r="A541" t="s">
        <v>552</v>
      </c>
      <c r="B541" t="s">
        <v>1712</v>
      </c>
      <c r="C541" t="s">
        <v>9</v>
      </c>
      <c r="D541">
        <v>69</v>
      </c>
      <c r="E541" s="9">
        <v>299</v>
      </c>
      <c r="F541">
        <v>77</v>
      </c>
      <c r="G541">
        <v>4.3</v>
      </c>
      <c r="H541" s="18">
        <v>255</v>
      </c>
      <c r="I541" t="s">
        <v>2340</v>
      </c>
    </row>
    <row r="542" spans="1:9" x14ac:dyDescent="0.25">
      <c r="A542" t="s">
        <v>553</v>
      </c>
      <c r="B542" t="s">
        <v>1713</v>
      </c>
      <c r="C542" t="s">
        <v>9</v>
      </c>
      <c r="D542">
        <v>899</v>
      </c>
      <c r="E542" s="9">
        <v>1499</v>
      </c>
      <c r="F542">
        <v>40</v>
      </c>
      <c r="G542">
        <v>4.2</v>
      </c>
      <c r="H542" s="18">
        <v>23174</v>
      </c>
      <c r="I542" t="s">
        <v>2336</v>
      </c>
    </row>
    <row r="543" spans="1:9" x14ac:dyDescent="0.25">
      <c r="A543" t="s">
        <v>554</v>
      </c>
      <c r="B543" t="s">
        <v>1714</v>
      </c>
      <c r="C543" t="s">
        <v>408</v>
      </c>
      <c r="D543">
        <v>478</v>
      </c>
      <c r="E543" s="9">
        <v>699</v>
      </c>
      <c r="F543">
        <v>32</v>
      </c>
      <c r="G543">
        <v>3.8</v>
      </c>
      <c r="H543" s="18">
        <v>20218</v>
      </c>
      <c r="I543" t="s">
        <v>2336</v>
      </c>
    </row>
    <row r="544" spans="1:9" x14ac:dyDescent="0.25">
      <c r="A544" t="s">
        <v>555</v>
      </c>
      <c r="B544" t="s">
        <v>1715</v>
      </c>
      <c r="C544" t="s">
        <v>9</v>
      </c>
      <c r="D544">
        <v>1399</v>
      </c>
      <c r="E544" s="9">
        <v>2490</v>
      </c>
      <c r="F544">
        <v>44</v>
      </c>
      <c r="G544">
        <v>4.3</v>
      </c>
      <c r="H544" s="18">
        <v>11074</v>
      </c>
      <c r="I544" t="s">
        <v>2339</v>
      </c>
    </row>
    <row r="545" spans="1:9" x14ac:dyDescent="0.25">
      <c r="A545" t="s">
        <v>556</v>
      </c>
      <c r="B545" t="s">
        <v>1716</v>
      </c>
      <c r="C545" t="s">
        <v>9</v>
      </c>
      <c r="D545">
        <v>149</v>
      </c>
      <c r="E545" s="9">
        <v>499</v>
      </c>
      <c r="F545">
        <v>70</v>
      </c>
      <c r="G545">
        <v>4.0999999999999996</v>
      </c>
      <c r="H545" s="18">
        <v>25607</v>
      </c>
      <c r="I545" t="s">
        <v>2340</v>
      </c>
    </row>
    <row r="546" spans="1:9" x14ac:dyDescent="0.25">
      <c r="A546" t="s">
        <v>557</v>
      </c>
      <c r="B546" t="s">
        <v>1717</v>
      </c>
      <c r="C546" t="s">
        <v>10</v>
      </c>
      <c r="D546">
        <v>1799</v>
      </c>
      <c r="E546" s="9">
        <v>4990</v>
      </c>
      <c r="F546">
        <v>64</v>
      </c>
      <c r="G546">
        <v>4.2</v>
      </c>
      <c r="H546" s="18">
        <v>41226</v>
      </c>
      <c r="I546" t="s">
        <v>2339</v>
      </c>
    </row>
    <row r="547" spans="1:9" x14ac:dyDescent="0.25">
      <c r="A547" t="s">
        <v>558</v>
      </c>
      <c r="B547" t="s">
        <v>1718</v>
      </c>
      <c r="C547" t="s">
        <v>559</v>
      </c>
      <c r="D547">
        <v>425</v>
      </c>
      <c r="E547" s="9">
        <v>999</v>
      </c>
      <c r="F547">
        <v>57</v>
      </c>
      <c r="G547">
        <v>4</v>
      </c>
      <c r="H547" s="18">
        <v>2581</v>
      </c>
      <c r="I547" t="s">
        <v>2336</v>
      </c>
    </row>
    <row r="548" spans="1:9" x14ac:dyDescent="0.25">
      <c r="A548" t="s">
        <v>560</v>
      </c>
      <c r="B548" t="s">
        <v>1719</v>
      </c>
      <c r="C548" t="s">
        <v>10</v>
      </c>
      <c r="D548">
        <v>999</v>
      </c>
      <c r="E548" s="9">
        <v>2490</v>
      </c>
      <c r="F548">
        <v>60</v>
      </c>
      <c r="G548">
        <v>4.0999999999999996</v>
      </c>
      <c r="H548" s="18">
        <v>18331</v>
      </c>
      <c r="I548" t="s">
        <v>2339</v>
      </c>
    </row>
    <row r="549" spans="1:9" x14ac:dyDescent="0.25">
      <c r="A549" t="s">
        <v>561</v>
      </c>
      <c r="B549" t="s">
        <v>1720</v>
      </c>
      <c r="C549" t="s">
        <v>9</v>
      </c>
      <c r="D549">
        <v>378</v>
      </c>
      <c r="E549" s="9">
        <v>999</v>
      </c>
      <c r="F549">
        <v>62</v>
      </c>
      <c r="G549">
        <v>4.0999999999999996</v>
      </c>
      <c r="H549" s="18">
        <v>1779</v>
      </c>
      <c r="I549" t="s">
        <v>2336</v>
      </c>
    </row>
    <row r="550" spans="1:9" x14ac:dyDescent="0.25">
      <c r="A550" t="s">
        <v>562</v>
      </c>
      <c r="B550" t="s">
        <v>1721</v>
      </c>
      <c r="C550" t="s">
        <v>411</v>
      </c>
      <c r="D550">
        <v>99</v>
      </c>
      <c r="E550" s="9">
        <v>99</v>
      </c>
      <c r="F550">
        <v>0</v>
      </c>
      <c r="G550">
        <v>4.3</v>
      </c>
      <c r="H550" s="18">
        <v>388</v>
      </c>
      <c r="I550" t="s">
        <v>2340</v>
      </c>
    </row>
    <row r="551" spans="1:9" x14ac:dyDescent="0.25">
      <c r="A551" t="s">
        <v>563</v>
      </c>
      <c r="B551" t="s">
        <v>1722</v>
      </c>
      <c r="C551" t="s">
        <v>9</v>
      </c>
      <c r="D551">
        <v>1499</v>
      </c>
      <c r="E551" s="9">
        <v>2999</v>
      </c>
      <c r="F551">
        <v>50</v>
      </c>
      <c r="G551">
        <v>4.5</v>
      </c>
      <c r="H551" s="18">
        <v>8656</v>
      </c>
      <c r="I551" t="s">
        <v>2339</v>
      </c>
    </row>
    <row r="552" spans="1:9" x14ac:dyDescent="0.25">
      <c r="A552" t="s">
        <v>564</v>
      </c>
      <c r="B552" t="s">
        <v>1723</v>
      </c>
      <c r="C552" t="s">
        <v>9</v>
      </c>
      <c r="D552">
        <v>1815</v>
      </c>
      <c r="E552" s="9">
        <v>3100</v>
      </c>
      <c r="F552">
        <v>41</v>
      </c>
      <c r="G552">
        <v>4.5</v>
      </c>
      <c r="H552" s="18">
        <v>92925</v>
      </c>
      <c r="I552" t="s">
        <v>2339</v>
      </c>
    </row>
    <row r="553" spans="1:9" x14ac:dyDescent="0.25">
      <c r="A553" t="s">
        <v>565</v>
      </c>
      <c r="B553" t="s">
        <v>1724</v>
      </c>
      <c r="C553" t="s">
        <v>411</v>
      </c>
      <c r="D553">
        <v>67</v>
      </c>
      <c r="E553" s="9">
        <v>75</v>
      </c>
      <c r="F553">
        <v>11</v>
      </c>
      <c r="G553">
        <v>4.0999999999999996</v>
      </c>
      <c r="H553" s="18">
        <v>1269</v>
      </c>
      <c r="I553" t="s">
        <v>2340</v>
      </c>
    </row>
    <row r="554" spans="1:9" x14ac:dyDescent="0.25">
      <c r="A554" t="s">
        <v>566</v>
      </c>
      <c r="B554" t="s">
        <v>1725</v>
      </c>
      <c r="C554" t="s">
        <v>9</v>
      </c>
      <c r="D554">
        <v>1889</v>
      </c>
      <c r="E554" s="9">
        <v>2699</v>
      </c>
      <c r="F554">
        <v>30</v>
      </c>
      <c r="G554">
        <v>4.3</v>
      </c>
      <c r="H554" s="18">
        <v>17394</v>
      </c>
      <c r="I554" t="s">
        <v>2339</v>
      </c>
    </row>
    <row r="555" spans="1:9" x14ac:dyDescent="0.25">
      <c r="A555" t="s">
        <v>567</v>
      </c>
      <c r="B555" t="s">
        <v>1726</v>
      </c>
      <c r="C555" t="s">
        <v>10</v>
      </c>
      <c r="D555">
        <v>499</v>
      </c>
      <c r="E555" s="9">
        <v>1499</v>
      </c>
      <c r="F555">
        <v>67</v>
      </c>
      <c r="G555">
        <v>3.6</v>
      </c>
      <c r="H555" s="18">
        <v>9169</v>
      </c>
      <c r="I555" t="s">
        <v>2336</v>
      </c>
    </row>
    <row r="556" spans="1:9" x14ac:dyDescent="0.25">
      <c r="A556" t="s">
        <v>568</v>
      </c>
      <c r="B556" t="s">
        <v>1727</v>
      </c>
      <c r="C556" t="s">
        <v>9</v>
      </c>
      <c r="D556">
        <v>499</v>
      </c>
      <c r="E556" s="9">
        <v>999</v>
      </c>
      <c r="F556">
        <v>50</v>
      </c>
      <c r="G556">
        <v>4.4000000000000004</v>
      </c>
      <c r="H556" s="18">
        <v>1030</v>
      </c>
      <c r="I556" t="s">
        <v>2336</v>
      </c>
    </row>
    <row r="557" spans="1:9" x14ac:dyDescent="0.25">
      <c r="A557" t="s">
        <v>569</v>
      </c>
      <c r="B557" t="s">
        <v>1728</v>
      </c>
      <c r="C557" t="s">
        <v>9</v>
      </c>
      <c r="D557">
        <v>5799</v>
      </c>
      <c r="E557" s="9">
        <v>7999</v>
      </c>
      <c r="F557">
        <v>28</v>
      </c>
      <c r="G557">
        <v>4.5</v>
      </c>
      <c r="H557" s="18">
        <v>50273</v>
      </c>
      <c r="I557" t="s">
        <v>2339</v>
      </c>
    </row>
    <row r="558" spans="1:9" x14ac:dyDescent="0.25">
      <c r="A558" t="s">
        <v>570</v>
      </c>
      <c r="B558" t="s">
        <v>1729</v>
      </c>
      <c r="C558" t="s">
        <v>10</v>
      </c>
      <c r="D558">
        <v>499</v>
      </c>
      <c r="E558" s="9">
        <v>799</v>
      </c>
      <c r="F558">
        <v>38</v>
      </c>
      <c r="G558">
        <v>3.9</v>
      </c>
      <c r="H558" s="18">
        <v>6742</v>
      </c>
      <c r="I558" t="s">
        <v>2336</v>
      </c>
    </row>
    <row r="559" spans="1:9" x14ac:dyDescent="0.25">
      <c r="A559" t="s">
        <v>571</v>
      </c>
      <c r="B559" t="s">
        <v>1730</v>
      </c>
      <c r="C559" t="s">
        <v>9</v>
      </c>
      <c r="D559">
        <v>249</v>
      </c>
      <c r="E559" s="9">
        <v>600</v>
      </c>
      <c r="F559">
        <v>59</v>
      </c>
      <c r="G559">
        <v>4</v>
      </c>
      <c r="H559" s="18">
        <v>1208</v>
      </c>
      <c r="I559" t="s">
        <v>2336</v>
      </c>
    </row>
    <row r="560" spans="1:9" x14ac:dyDescent="0.25">
      <c r="A560" t="s">
        <v>572</v>
      </c>
      <c r="B560" t="s">
        <v>1731</v>
      </c>
      <c r="C560" t="s">
        <v>9</v>
      </c>
      <c r="D560">
        <v>4449</v>
      </c>
      <c r="E560" s="9">
        <v>5734</v>
      </c>
      <c r="F560">
        <v>22</v>
      </c>
      <c r="G560">
        <v>4.4000000000000004</v>
      </c>
      <c r="H560" s="18">
        <v>25006</v>
      </c>
      <c r="I560" t="s">
        <v>2339</v>
      </c>
    </row>
    <row r="561" spans="1:9" x14ac:dyDescent="0.25">
      <c r="A561" t="s">
        <v>573</v>
      </c>
      <c r="B561" t="s">
        <v>1732</v>
      </c>
      <c r="C561" t="s">
        <v>9</v>
      </c>
      <c r="D561">
        <v>299</v>
      </c>
      <c r="E561" s="9">
        <v>550</v>
      </c>
      <c r="F561">
        <v>46</v>
      </c>
      <c r="G561">
        <v>4.5999999999999996</v>
      </c>
      <c r="H561" s="18">
        <v>33434</v>
      </c>
      <c r="I561" t="s">
        <v>2336</v>
      </c>
    </row>
    <row r="562" spans="1:9" x14ac:dyDescent="0.25">
      <c r="A562" t="s">
        <v>574</v>
      </c>
      <c r="B562" t="s">
        <v>1733</v>
      </c>
      <c r="C562" t="s">
        <v>9</v>
      </c>
      <c r="D562">
        <v>629</v>
      </c>
      <c r="E562" s="9">
        <v>1390</v>
      </c>
      <c r="F562">
        <v>55</v>
      </c>
      <c r="G562">
        <v>4.4000000000000004</v>
      </c>
      <c r="H562" s="18">
        <v>6301</v>
      </c>
      <c r="I562" t="s">
        <v>2336</v>
      </c>
    </row>
    <row r="563" spans="1:9" x14ac:dyDescent="0.25">
      <c r="A563" t="s">
        <v>575</v>
      </c>
      <c r="B563" t="s">
        <v>1734</v>
      </c>
      <c r="C563" t="s">
        <v>9</v>
      </c>
      <c r="D563">
        <v>2595</v>
      </c>
      <c r="E563" s="9">
        <v>3295</v>
      </c>
      <c r="F563">
        <v>21</v>
      </c>
      <c r="G563">
        <v>4.4000000000000004</v>
      </c>
      <c r="H563" s="18">
        <v>22618</v>
      </c>
      <c r="I563" t="s">
        <v>2339</v>
      </c>
    </row>
    <row r="564" spans="1:9" x14ac:dyDescent="0.25">
      <c r="A564" t="s">
        <v>576</v>
      </c>
      <c r="B564" t="s">
        <v>1735</v>
      </c>
      <c r="C564" t="s">
        <v>9</v>
      </c>
      <c r="D564">
        <v>1799</v>
      </c>
      <c r="E564" s="9">
        <v>2911</v>
      </c>
      <c r="F564">
        <v>38</v>
      </c>
      <c r="G564">
        <v>4.3</v>
      </c>
      <c r="H564" s="18">
        <v>20342</v>
      </c>
      <c r="I564" t="s">
        <v>2339</v>
      </c>
    </row>
    <row r="565" spans="1:9" x14ac:dyDescent="0.25">
      <c r="A565" t="s">
        <v>577</v>
      </c>
      <c r="B565" t="s">
        <v>1736</v>
      </c>
      <c r="C565" t="s">
        <v>411</v>
      </c>
      <c r="D565">
        <v>90</v>
      </c>
      <c r="E565" s="9">
        <v>175</v>
      </c>
      <c r="F565">
        <v>49</v>
      </c>
      <c r="G565">
        <v>4.4000000000000004</v>
      </c>
      <c r="H565" s="18">
        <v>7429</v>
      </c>
      <c r="I565" t="s">
        <v>2340</v>
      </c>
    </row>
    <row r="566" spans="1:9" x14ac:dyDescent="0.25">
      <c r="A566" t="s">
        <v>578</v>
      </c>
      <c r="B566" t="s">
        <v>1737</v>
      </c>
      <c r="C566" t="s">
        <v>9</v>
      </c>
      <c r="D566">
        <v>599</v>
      </c>
      <c r="E566" s="9">
        <v>599</v>
      </c>
      <c r="F566">
        <v>0</v>
      </c>
      <c r="G566">
        <v>4</v>
      </c>
      <c r="H566" s="18">
        <v>26423</v>
      </c>
      <c r="I566" t="s">
        <v>2336</v>
      </c>
    </row>
    <row r="567" spans="1:9" x14ac:dyDescent="0.25">
      <c r="A567" t="s">
        <v>579</v>
      </c>
      <c r="B567" t="s">
        <v>1738</v>
      </c>
      <c r="C567" t="s">
        <v>10</v>
      </c>
      <c r="D567">
        <v>1999</v>
      </c>
      <c r="E567" s="9">
        <v>7999</v>
      </c>
      <c r="F567">
        <v>75</v>
      </c>
      <c r="G567">
        <v>4.2</v>
      </c>
      <c r="H567" s="18">
        <v>31305</v>
      </c>
      <c r="I567" t="s">
        <v>2339</v>
      </c>
    </row>
    <row r="568" spans="1:9" x14ac:dyDescent="0.25">
      <c r="A568" t="s">
        <v>1175</v>
      </c>
      <c r="B568" t="s">
        <v>1739</v>
      </c>
      <c r="C568" t="s">
        <v>9</v>
      </c>
      <c r="D568">
        <v>2099</v>
      </c>
      <c r="E568" s="9">
        <v>3250</v>
      </c>
      <c r="F568">
        <v>35</v>
      </c>
      <c r="G568">
        <v>3.8</v>
      </c>
      <c r="H568" s="18">
        <v>11213</v>
      </c>
      <c r="I568" t="s">
        <v>2339</v>
      </c>
    </row>
    <row r="569" spans="1:9" x14ac:dyDescent="0.25">
      <c r="A569" t="s">
        <v>580</v>
      </c>
      <c r="B569" t="s">
        <v>1740</v>
      </c>
      <c r="C569" t="s">
        <v>9</v>
      </c>
      <c r="D569">
        <v>179</v>
      </c>
      <c r="E569" s="9">
        <v>499</v>
      </c>
      <c r="F569">
        <v>64</v>
      </c>
      <c r="G569">
        <v>4.0999999999999996</v>
      </c>
      <c r="H569" s="18">
        <v>10174</v>
      </c>
      <c r="I569" t="s">
        <v>2340</v>
      </c>
    </row>
    <row r="570" spans="1:9" x14ac:dyDescent="0.25">
      <c r="A570" t="s">
        <v>581</v>
      </c>
      <c r="B570" t="s">
        <v>1741</v>
      </c>
      <c r="C570" t="s">
        <v>9</v>
      </c>
      <c r="D570">
        <v>1345</v>
      </c>
      <c r="E570" s="9">
        <v>2295</v>
      </c>
      <c r="F570">
        <v>41</v>
      </c>
      <c r="G570">
        <v>4.2</v>
      </c>
      <c r="H570" s="18">
        <v>17413</v>
      </c>
      <c r="I570" t="s">
        <v>2339</v>
      </c>
    </row>
    <row r="571" spans="1:9" x14ac:dyDescent="0.25">
      <c r="A571" t="s">
        <v>582</v>
      </c>
      <c r="B571" t="s">
        <v>1742</v>
      </c>
      <c r="C571" t="s">
        <v>10</v>
      </c>
      <c r="D571">
        <v>349</v>
      </c>
      <c r="E571" s="9">
        <v>995</v>
      </c>
      <c r="F571">
        <v>65</v>
      </c>
      <c r="G571">
        <v>4.2</v>
      </c>
      <c r="H571" s="18">
        <v>6676</v>
      </c>
      <c r="I571" t="s">
        <v>2336</v>
      </c>
    </row>
    <row r="572" spans="1:9" x14ac:dyDescent="0.25">
      <c r="A572" t="s">
        <v>583</v>
      </c>
      <c r="B572" t="s">
        <v>1743</v>
      </c>
      <c r="C572" t="s">
        <v>9</v>
      </c>
      <c r="D572">
        <v>287</v>
      </c>
      <c r="E572" s="9">
        <v>499</v>
      </c>
      <c r="F572">
        <v>42</v>
      </c>
      <c r="G572">
        <v>4.4000000000000004</v>
      </c>
      <c r="H572" s="18">
        <v>8076</v>
      </c>
      <c r="I572" t="s">
        <v>2340</v>
      </c>
    </row>
    <row r="573" spans="1:9" x14ac:dyDescent="0.25">
      <c r="A573" t="s">
        <v>584</v>
      </c>
      <c r="B573" t="s">
        <v>1744</v>
      </c>
      <c r="C573" t="s">
        <v>9</v>
      </c>
      <c r="D573">
        <v>349</v>
      </c>
      <c r="E573" s="9">
        <v>450</v>
      </c>
      <c r="F573">
        <v>22</v>
      </c>
      <c r="G573">
        <v>4.0999999999999996</v>
      </c>
      <c r="H573" s="18">
        <v>18656</v>
      </c>
      <c r="I573" t="s">
        <v>2340</v>
      </c>
    </row>
    <row r="574" spans="1:9" x14ac:dyDescent="0.25">
      <c r="A574" t="s">
        <v>585</v>
      </c>
      <c r="B574" t="s">
        <v>1745</v>
      </c>
      <c r="C574" t="s">
        <v>10</v>
      </c>
      <c r="D574">
        <v>879</v>
      </c>
      <c r="E574" s="9">
        <v>1109</v>
      </c>
      <c r="F574">
        <v>21</v>
      </c>
      <c r="G574">
        <v>4.4000000000000004</v>
      </c>
      <c r="H574" s="18">
        <v>31599</v>
      </c>
      <c r="I574" t="s">
        <v>2336</v>
      </c>
    </row>
    <row r="575" spans="1:9" x14ac:dyDescent="0.25">
      <c r="A575" t="s">
        <v>586</v>
      </c>
      <c r="B575" t="s">
        <v>1746</v>
      </c>
      <c r="C575" t="s">
        <v>10</v>
      </c>
      <c r="D575">
        <v>250</v>
      </c>
      <c r="E575" s="9">
        <v>250</v>
      </c>
      <c r="F575">
        <v>0</v>
      </c>
      <c r="G575">
        <v>3.9</v>
      </c>
      <c r="H575" s="18">
        <v>13971</v>
      </c>
      <c r="I575" t="s">
        <v>2340</v>
      </c>
    </row>
    <row r="576" spans="1:9" x14ac:dyDescent="0.25">
      <c r="A576" t="s">
        <v>587</v>
      </c>
      <c r="B576" t="s">
        <v>1747</v>
      </c>
      <c r="C576" t="s">
        <v>10</v>
      </c>
      <c r="D576">
        <v>199</v>
      </c>
      <c r="E576" s="9">
        <v>499</v>
      </c>
      <c r="F576">
        <v>60</v>
      </c>
      <c r="G576">
        <v>3.6</v>
      </c>
      <c r="H576" s="18">
        <v>2492</v>
      </c>
      <c r="I576" t="s">
        <v>2340</v>
      </c>
    </row>
    <row r="577" spans="1:9" x14ac:dyDescent="0.25">
      <c r="A577" t="s">
        <v>588</v>
      </c>
      <c r="B577" t="s">
        <v>1748</v>
      </c>
      <c r="C577" t="s">
        <v>9</v>
      </c>
      <c r="D577">
        <v>149</v>
      </c>
      <c r="E577" s="9">
        <v>999</v>
      </c>
      <c r="F577">
        <v>85</v>
      </c>
      <c r="G577">
        <v>3.5</v>
      </c>
      <c r="H577" s="18">
        <v>2523</v>
      </c>
      <c r="I577" t="s">
        <v>2336</v>
      </c>
    </row>
    <row r="578" spans="1:9" x14ac:dyDescent="0.25">
      <c r="A578" t="s">
        <v>589</v>
      </c>
      <c r="B578" t="s">
        <v>1749</v>
      </c>
      <c r="C578" t="s">
        <v>9</v>
      </c>
      <c r="D578">
        <v>469</v>
      </c>
      <c r="E578" s="9">
        <v>1499</v>
      </c>
      <c r="F578">
        <v>69</v>
      </c>
      <c r="G578">
        <v>4.0999999999999996</v>
      </c>
      <c r="H578" s="18">
        <v>352</v>
      </c>
      <c r="I578" t="s">
        <v>2336</v>
      </c>
    </row>
    <row r="579" spans="1:9" x14ac:dyDescent="0.25">
      <c r="A579" t="s">
        <v>590</v>
      </c>
      <c r="B579" t="s">
        <v>1750</v>
      </c>
      <c r="C579" t="s">
        <v>9</v>
      </c>
      <c r="D579">
        <v>1187</v>
      </c>
      <c r="E579" s="9">
        <v>1929</v>
      </c>
      <c r="F579">
        <v>38</v>
      </c>
      <c r="G579">
        <v>4.0999999999999996</v>
      </c>
      <c r="H579" s="18">
        <v>1662</v>
      </c>
      <c r="I579" t="s">
        <v>2336</v>
      </c>
    </row>
    <row r="580" spans="1:9" x14ac:dyDescent="0.25">
      <c r="A580" t="s">
        <v>591</v>
      </c>
      <c r="B580" t="s">
        <v>1751</v>
      </c>
      <c r="C580" t="s">
        <v>9</v>
      </c>
      <c r="D580">
        <v>849</v>
      </c>
      <c r="E580" s="9">
        <v>1499</v>
      </c>
      <c r="F580">
        <v>43</v>
      </c>
      <c r="G580">
        <v>4</v>
      </c>
      <c r="H580" s="18">
        <v>7352</v>
      </c>
      <c r="I580" t="s">
        <v>2336</v>
      </c>
    </row>
    <row r="581" spans="1:9" x14ac:dyDescent="0.25">
      <c r="A581" t="s">
        <v>592</v>
      </c>
      <c r="B581" t="s">
        <v>1752</v>
      </c>
      <c r="C581" t="s">
        <v>9</v>
      </c>
      <c r="D581">
        <v>328</v>
      </c>
      <c r="E581" s="9">
        <v>399</v>
      </c>
      <c r="F581">
        <v>18</v>
      </c>
      <c r="G581">
        <v>4.0999999999999996</v>
      </c>
      <c r="H581" s="18">
        <v>3441</v>
      </c>
      <c r="I581" t="s">
        <v>2340</v>
      </c>
    </row>
    <row r="582" spans="1:9" x14ac:dyDescent="0.25">
      <c r="A582" t="s">
        <v>593</v>
      </c>
      <c r="B582" t="s">
        <v>1753</v>
      </c>
      <c r="C582" t="s">
        <v>9</v>
      </c>
      <c r="D582">
        <v>269</v>
      </c>
      <c r="E582" s="9">
        <v>699</v>
      </c>
      <c r="F582">
        <v>62</v>
      </c>
      <c r="G582">
        <v>4</v>
      </c>
      <c r="H582" s="18">
        <v>93</v>
      </c>
      <c r="I582" t="s">
        <v>2336</v>
      </c>
    </row>
    <row r="583" spans="1:9" x14ac:dyDescent="0.25">
      <c r="A583" t="s">
        <v>594</v>
      </c>
      <c r="B583" t="s">
        <v>1754</v>
      </c>
      <c r="C583" t="s">
        <v>10</v>
      </c>
      <c r="D583">
        <v>299</v>
      </c>
      <c r="E583" s="9">
        <v>400</v>
      </c>
      <c r="F583">
        <v>25</v>
      </c>
      <c r="G583">
        <v>3.8</v>
      </c>
      <c r="H583" s="18">
        <v>40895</v>
      </c>
      <c r="I583" t="s">
        <v>2340</v>
      </c>
    </row>
    <row r="584" spans="1:9" x14ac:dyDescent="0.25">
      <c r="A584" t="s">
        <v>595</v>
      </c>
      <c r="B584" t="s">
        <v>1755</v>
      </c>
      <c r="C584" t="s">
        <v>9</v>
      </c>
      <c r="D584">
        <v>549</v>
      </c>
      <c r="E584" s="9">
        <v>1499</v>
      </c>
      <c r="F584">
        <v>63</v>
      </c>
      <c r="G584">
        <v>4.3</v>
      </c>
      <c r="H584" s="18">
        <v>11006</v>
      </c>
      <c r="I584" t="s">
        <v>2336</v>
      </c>
    </row>
    <row r="585" spans="1:9" x14ac:dyDescent="0.25">
      <c r="A585" t="s">
        <v>596</v>
      </c>
      <c r="B585" t="s">
        <v>1756</v>
      </c>
      <c r="C585" t="s">
        <v>411</v>
      </c>
      <c r="D585">
        <v>114</v>
      </c>
      <c r="E585" s="9">
        <v>120</v>
      </c>
      <c r="F585">
        <v>5</v>
      </c>
      <c r="G585">
        <v>4.2</v>
      </c>
      <c r="H585" s="18">
        <v>8938</v>
      </c>
      <c r="I585" t="s">
        <v>2340</v>
      </c>
    </row>
    <row r="586" spans="1:9" x14ac:dyDescent="0.25">
      <c r="A586" t="s">
        <v>597</v>
      </c>
      <c r="B586" t="s">
        <v>1757</v>
      </c>
      <c r="C586" t="s">
        <v>411</v>
      </c>
      <c r="D586">
        <v>120</v>
      </c>
      <c r="E586" s="9">
        <v>120</v>
      </c>
      <c r="F586">
        <v>0</v>
      </c>
      <c r="G586">
        <v>4.0999999999999996</v>
      </c>
      <c r="H586" s="18">
        <v>4308</v>
      </c>
      <c r="I586" t="s">
        <v>2340</v>
      </c>
    </row>
    <row r="587" spans="1:9" x14ac:dyDescent="0.25">
      <c r="A587" t="s">
        <v>598</v>
      </c>
      <c r="B587" t="s">
        <v>1758</v>
      </c>
      <c r="C587" t="s">
        <v>9</v>
      </c>
      <c r="D587">
        <v>1490</v>
      </c>
      <c r="E587" s="9">
        <v>2295</v>
      </c>
      <c r="F587">
        <v>35</v>
      </c>
      <c r="G587">
        <v>4.5999999999999996</v>
      </c>
      <c r="H587" s="18">
        <v>10652</v>
      </c>
      <c r="I587" t="s">
        <v>2339</v>
      </c>
    </row>
    <row r="588" spans="1:9" x14ac:dyDescent="0.25">
      <c r="A588" t="s">
        <v>599</v>
      </c>
      <c r="B588" t="s">
        <v>1759</v>
      </c>
      <c r="C588" t="s">
        <v>413</v>
      </c>
      <c r="D588">
        <v>99</v>
      </c>
      <c r="E588" s="9">
        <v>99</v>
      </c>
      <c r="F588">
        <v>0</v>
      </c>
      <c r="G588">
        <v>4.3</v>
      </c>
      <c r="H588" s="18">
        <v>5036</v>
      </c>
      <c r="I588" t="s">
        <v>2340</v>
      </c>
    </row>
    <row r="589" spans="1:9" x14ac:dyDescent="0.25">
      <c r="A589" t="s">
        <v>600</v>
      </c>
      <c r="B589" t="s">
        <v>1760</v>
      </c>
      <c r="C589" t="s">
        <v>9</v>
      </c>
      <c r="D589">
        <v>149</v>
      </c>
      <c r="E589" s="9">
        <v>249</v>
      </c>
      <c r="F589">
        <v>40</v>
      </c>
      <c r="G589">
        <v>4</v>
      </c>
      <c r="H589" s="18">
        <v>5057</v>
      </c>
      <c r="I589" t="s">
        <v>2340</v>
      </c>
    </row>
    <row r="590" spans="1:9" x14ac:dyDescent="0.25">
      <c r="A590" t="s">
        <v>601</v>
      </c>
      <c r="B590" t="s">
        <v>1761</v>
      </c>
      <c r="C590" t="s">
        <v>9</v>
      </c>
      <c r="D590">
        <v>575</v>
      </c>
      <c r="E590" s="9">
        <v>2799</v>
      </c>
      <c r="F590">
        <v>79</v>
      </c>
      <c r="G590">
        <v>4.2</v>
      </c>
      <c r="H590" s="18">
        <v>8537</v>
      </c>
      <c r="I590" t="s">
        <v>2339</v>
      </c>
    </row>
    <row r="591" spans="1:9" x14ac:dyDescent="0.25">
      <c r="A591" t="s">
        <v>602</v>
      </c>
      <c r="B591" t="s">
        <v>1762</v>
      </c>
      <c r="C591" t="s">
        <v>411</v>
      </c>
      <c r="D591">
        <v>178</v>
      </c>
      <c r="E591" s="9">
        <v>210</v>
      </c>
      <c r="F591">
        <v>15</v>
      </c>
      <c r="G591">
        <v>4.3</v>
      </c>
      <c r="H591" s="18">
        <v>2450</v>
      </c>
      <c r="I591" t="s">
        <v>2340</v>
      </c>
    </row>
    <row r="592" spans="1:9" x14ac:dyDescent="0.25">
      <c r="A592" t="s">
        <v>603</v>
      </c>
      <c r="B592" t="s">
        <v>1763</v>
      </c>
      <c r="C592" t="s">
        <v>10</v>
      </c>
      <c r="D592">
        <v>1599</v>
      </c>
      <c r="E592" s="9">
        <v>3490</v>
      </c>
      <c r="F592">
        <v>54</v>
      </c>
      <c r="G592">
        <v>3.7</v>
      </c>
      <c r="H592" s="18">
        <v>676</v>
      </c>
      <c r="I592" t="s">
        <v>2339</v>
      </c>
    </row>
    <row r="593" spans="1:9" x14ac:dyDescent="0.25">
      <c r="A593" t="s">
        <v>604</v>
      </c>
      <c r="B593" t="s">
        <v>1764</v>
      </c>
      <c r="C593" t="s">
        <v>10</v>
      </c>
      <c r="D593">
        <v>499</v>
      </c>
      <c r="E593" s="9">
        <v>1299</v>
      </c>
      <c r="F593">
        <v>62</v>
      </c>
      <c r="G593">
        <v>3.9</v>
      </c>
      <c r="H593" s="18">
        <v>1173</v>
      </c>
      <c r="I593" t="s">
        <v>2336</v>
      </c>
    </row>
    <row r="594" spans="1:9" x14ac:dyDescent="0.25">
      <c r="A594" t="s">
        <v>605</v>
      </c>
      <c r="B594" t="s">
        <v>1765</v>
      </c>
      <c r="C594" t="s">
        <v>9</v>
      </c>
      <c r="D594">
        <v>199</v>
      </c>
      <c r="E594" s="9">
        <v>499</v>
      </c>
      <c r="F594">
        <v>60</v>
      </c>
      <c r="G594">
        <v>4.3</v>
      </c>
      <c r="H594" s="18">
        <v>9998</v>
      </c>
      <c r="I594" t="s">
        <v>2340</v>
      </c>
    </row>
    <row r="595" spans="1:9" x14ac:dyDescent="0.25">
      <c r="A595" t="s">
        <v>606</v>
      </c>
      <c r="B595" t="s">
        <v>1766</v>
      </c>
      <c r="C595" t="s">
        <v>10</v>
      </c>
      <c r="D595">
        <v>2499</v>
      </c>
      <c r="E595" s="9">
        <v>5999</v>
      </c>
      <c r="F595">
        <v>58</v>
      </c>
      <c r="G595">
        <v>4.0999999999999996</v>
      </c>
      <c r="H595" s="18">
        <v>5852</v>
      </c>
      <c r="I595" t="s">
        <v>2339</v>
      </c>
    </row>
    <row r="596" spans="1:9" x14ac:dyDescent="0.25">
      <c r="A596" t="s">
        <v>607</v>
      </c>
      <c r="B596" t="s">
        <v>1767</v>
      </c>
      <c r="C596" t="s">
        <v>9</v>
      </c>
      <c r="D596">
        <v>199</v>
      </c>
      <c r="E596" s="9">
        <v>999</v>
      </c>
      <c r="F596">
        <v>80</v>
      </c>
      <c r="G596">
        <v>4.2</v>
      </c>
      <c r="H596" s="18">
        <v>362</v>
      </c>
      <c r="I596" t="s">
        <v>2336</v>
      </c>
    </row>
    <row r="597" spans="1:9" x14ac:dyDescent="0.25">
      <c r="A597" t="s">
        <v>608</v>
      </c>
      <c r="B597" t="s">
        <v>1768</v>
      </c>
      <c r="C597" t="s">
        <v>10</v>
      </c>
      <c r="D597">
        <v>939</v>
      </c>
      <c r="E597" s="9">
        <v>1800</v>
      </c>
      <c r="F597">
        <v>48</v>
      </c>
      <c r="G597">
        <v>4.5</v>
      </c>
      <c r="H597" s="18">
        <v>205052</v>
      </c>
      <c r="I597" t="s">
        <v>2336</v>
      </c>
    </row>
    <row r="598" spans="1:9" x14ac:dyDescent="0.25">
      <c r="A598" t="s">
        <v>609</v>
      </c>
      <c r="B598" t="s">
        <v>1769</v>
      </c>
      <c r="C598" t="s">
        <v>10</v>
      </c>
      <c r="D598">
        <v>2499</v>
      </c>
      <c r="E598" s="9">
        <v>9999</v>
      </c>
      <c r="F598">
        <v>75</v>
      </c>
      <c r="G598">
        <v>4</v>
      </c>
      <c r="H598" s="18">
        <v>9090</v>
      </c>
      <c r="I598" t="s">
        <v>2339</v>
      </c>
    </row>
    <row r="599" spans="1:9" x14ac:dyDescent="0.25">
      <c r="A599" t="s">
        <v>610</v>
      </c>
      <c r="B599" t="s">
        <v>1770</v>
      </c>
      <c r="C599" t="s">
        <v>9</v>
      </c>
      <c r="D599">
        <v>1439</v>
      </c>
      <c r="E599" s="9">
        <v>2890</v>
      </c>
      <c r="F599">
        <v>50</v>
      </c>
      <c r="G599">
        <v>4.5</v>
      </c>
      <c r="H599" s="18">
        <v>4099</v>
      </c>
      <c r="I599" t="s">
        <v>2339</v>
      </c>
    </row>
    <row r="600" spans="1:9" x14ac:dyDescent="0.25">
      <c r="A600" t="s">
        <v>611</v>
      </c>
      <c r="B600" t="s">
        <v>1771</v>
      </c>
      <c r="C600" t="s">
        <v>10</v>
      </c>
      <c r="D600">
        <v>1099</v>
      </c>
      <c r="E600" s="9">
        <v>5999</v>
      </c>
      <c r="F600">
        <v>82</v>
      </c>
      <c r="G600">
        <v>3.5</v>
      </c>
      <c r="H600" s="18">
        <v>12966</v>
      </c>
      <c r="I600" t="s">
        <v>2339</v>
      </c>
    </row>
    <row r="601" spans="1:9" x14ac:dyDescent="0.25">
      <c r="A601" t="s">
        <v>612</v>
      </c>
      <c r="B601" t="s">
        <v>1772</v>
      </c>
      <c r="C601" t="s">
        <v>9</v>
      </c>
      <c r="D601">
        <v>115</v>
      </c>
      <c r="E601" s="9">
        <v>999</v>
      </c>
      <c r="F601">
        <v>88</v>
      </c>
      <c r="G601">
        <v>3.3</v>
      </c>
      <c r="H601" s="18">
        <v>5692</v>
      </c>
      <c r="I601" t="s">
        <v>2336</v>
      </c>
    </row>
    <row r="602" spans="1:9" x14ac:dyDescent="0.25">
      <c r="A602" t="s">
        <v>613</v>
      </c>
      <c r="B602" t="s">
        <v>1773</v>
      </c>
      <c r="C602" t="s">
        <v>9</v>
      </c>
      <c r="D602">
        <v>175</v>
      </c>
      <c r="E602" s="9">
        <v>499</v>
      </c>
      <c r="F602">
        <v>65</v>
      </c>
      <c r="G602">
        <v>4.0999999999999996</v>
      </c>
      <c r="H602" s="18">
        <v>21</v>
      </c>
      <c r="I602" t="s">
        <v>2340</v>
      </c>
    </row>
    <row r="603" spans="1:9" x14ac:dyDescent="0.25">
      <c r="A603" t="s">
        <v>614</v>
      </c>
      <c r="B603" t="s">
        <v>1774</v>
      </c>
      <c r="C603" t="s">
        <v>10</v>
      </c>
      <c r="D603">
        <v>1999</v>
      </c>
      <c r="E603" s="9">
        <v>4700</v>
      </c>
      <c r="F603">
        <v>57</v>
      </c>
      <c r="G603">
        <v>3.8</v>
      </c>
      <c r="H603" s="18">
        <v>1880</v>
      </c>
      <c r="I603" t="s">
        <v>2339</v>
      </c>
    </row>
    <row r="604" spans="1:9" x14ac:dyDescent="0.25">
      <c r="A604" t="s">
        <v>615</v>
      </c>
      <c r="B604" t="s">
        <v>1775</v>
      </c>
      <c r="C604" t="s">
        <v>9</v>
      </c>
      <c r="D604">
        <v>3999</v>
      </c>
      <c r="E604" s="9">
        <v>433296</v>
      </c>
      <c r="F604">
        <v>8</v>
      </c>
      <c r="G604">
        <v>3.5</v>
      </c>
      <c r="H604" s="18">
        <v>21762</v>
      </c>
      <c r="I604" t="s">
        <v>2339</v>
      </c>
    </row>
    <row r="605" spans="1:9" x14ac:dyDescent="0.25">
      <c r="A605" t="s">
        <v>616</v>
      </c>
      <c r="B605" t="s">
        <v>1776</v>
      </c>
      <c r="C605" t="s">
        <v>9</v>
      </c>
      <c r="D605">
        <v>899</v>
      </c>
      <c r="E605" s="9">
        <v>1800</v>
      </c>
      <c r="F605">
        <v>50</v>
      </c>
      <c r="G605">
        <v>4.0999999999999996</v>
      </c>
      <c r="H605" s="18">
        <v>22375</v>
      </c>
      <c r="I605" t="s">
        <v>2336</v>
      </c>
    </row>
    <row r="606" spans="1:9" x14ac:dyDescent="0.25">
      <c r="A606" t="s">
        <v>617</v>
      </c>
      <c r="B606" t="s">
        <v>1777</v>
      </c>
      <c r="C606" t="s">
        <v>9</v>
      </c>
      <c r="D606">
        <v>299</v>
      </c>
      <c r="E606" s="9">
        <v>990</v>
      </c>
      <c r="F606">
        <v>70</v>
      </c>
      <c r="G606">
        <v>4.5</v>
      </c>
      <c r="H606" s="18">
        <v>2453</v>
      </c>
      <c r="I606" t="s">
        <v>2336</v>
      </c>
    </row>
    <row r="607" spans="1:9" x14ac:dyDescent="0.25">
      <c r="A607" t="s">
        <v>618</v>
      </c>
      <c r="B607" t="s">
        <v>1778</v>
      </c>
      <c r="C607" t="s">
        <v>9</v>
      </c>
      <c r="D607">
        <v>3303</v>
      </c>
      <c r="E607" s="9">
        <v>4699</v>
      </c>
      <c r="F607">
        <v>30</v>
      </c>
      <c r="G607">
        <v>4.4000000000000004</v>
      </c>
      <c r="H607" s="18">
        <v>13544</v>
      </c>
      <c r="I607" t="s">
        <v>2339</v>
      </c>
    </row>
    <row r="608" spans="1:9" x14ac:dyDescent="0.25">
      <c r="A608" t="s">
        <v>619</v>
      </c>
      <c r="B608" t="s">
        <v>1779</v>
      </c>
      <c r="C608" t="s">
        <v>9</v>
      </c>
      <c r="D608">
        <v>1890</v>
      </c>
      <c r="E608" s="9">
        <v>5490</v>
      </c>
      <c r="F608">
        <v>66</v>
      </c>
      <c r="G608">
        <v>4.0999999999999996</v>
      </c>
      <c r="H608" s="18">
        <v>10976</v>
      </c>
      <c r="I608" t="s">
        <v>2339</v>
      </c>
    </row>
    <row r="609" spans="1:9" x14ac:dyDescent="0.25">
      <c r="A609" t="s">
        <v>620</v>
      </c>
      <c r="B609" t="s">
        <v>621</v>
      </c>
      <c r="C609" t="s">
        <v>411</v>
      </c>
      <c r="D609">
        <v>90</v>
      </c>
      <c r="E609" s="9">
        <v>100</v>
      </c>
      <c r="F609">
        <v>10</v>
      </c>
      <c r="G609">
        <v>4.3</v>
      </c>
      <c r="H609" s="18">
        <v>3061</v>
      </c>
      <c r="I609" t="s">
        <v>2340</v>
      </c>
    </row>
    <row r="610" spans="1:9" x14ac:dyDescent="0.25">
      <c r="A610" t="s">
        <v>622</v>
      </c>
      <c r="B610" t="s">
        <v>1780</v>
      </c>
      <c r="C610" t="s">
        <v>10</v>
      </c>
      <c r="D610">
        <v>1599</v>
      </c>
      <c r="E610" s="9">
        <v>2790</v>
      </c>
      <c r="F610">
        <v>43</v>
      </c>
      <c r="G610">
        <v>3.6</v>
      </c>
      <c r="H610" s="18">
        <v>2272</v>
      </c>
      <c r="I610" t="s">
        <v>2339</v>
      </c>
    </row>
    <row r="611" spans="1:9" x14ac:dyDescent="0.25">
      <c r="A611" t="s">
        <v>623</v>
      </c>
      <c r="B611" t="s">
        <v>1781</v>
      </c>
      <c r="C611" t="s">
        <v>9</v>
      </c>
      <c r="D611">
        <v>599</v>
      </c>
      <c r="E611" s="9">
        <v>999</v>
      </c>
      <c r="F611">
        <v>40</v>
      </c>
      <c r="G611">
        <v>4</v>
      </c>
      <c r="H611" s="18">
        <v>7601</v>
      </c>
      <c r="I611" t="s">
        <v>2336</v>
      </c>
    </row>
    <row r="612" spans="1:9" x14ac:dyDescent="0.25">
      <c r="A612" t="s">
        <v>624</v>
      </c>
      <c r="B612" t="s">
        <v>1782</v>
      </c>
      <c r="C612" t="s">
        <v>9</v>
      </c>
      <c r="D612">
        <v>425</v>
      </c>
      <c r="E612" s="9">
        <v>899</v>
      </c>
      <c r="F612">
        <v>53</v>
      </c>
      <c r="G612">
        <v>4.5</v>
      </c>
      <c r="H612" s="18">
        <v>4219</v>
      </c>
      <c r="I612" t="s">
        <v>2336</v>
      </c>
    </row>
    <row r="613" spans="1:9" x14ac:dyDescent="0.25">
      <c r="A613" t="s">
        <v>625</v>
      </c>
      <c r="B613" t="s">
        <v>1783</v>
      </c>
      <c r="C613" t="s">
        <v>10</v>
      </c>
      <c r="D613">
        <v>1499</v>
      </c>
      <c r="E613" s="9">
        <v>3999</v>
      </c>
      <c r="F613">
        <v>63</v>
      </c>
      <c r="G613">
        <v>4.2</v>
      </c>
      <c r="H613" s="18">
        <v>42775</v>
      </c>
      <c r="I613" t="s">
        <v>2339</v>
      </c>
    </row>
    <row r="614" spans="1:9" x14ac:dyDescent="0.25">
      <c r="A614" t="s">
        <v>626</v>
      </c>
      <c r="B614" t="s">
        <v>1784</v>
      </c>
      <c r="C614" t="s">
        <v>9</v>
      </c>
      <c r="D614">
        <v>549</v>
      </c>
      <c r="E614" s="9">
        <v>2499</v>
      </c>
      <c r="F614">
        <v>78</v>
      </c>
      <c r="G614">
        <v>4.3</v>
      </c>
      <c r="H614" s="18">
        <v>5556</v>
      </c>
      <c r="I614" t="s">
        <v>2339</v>
      </c>
    </row>
    <row r="615" spans="1:9" x14ac:dyDescent="0.25">
      <c r="A615" t="s">
        <v>627</v>
      </c>
      <c r="B615" t="s">
        <v>1785</v>
      </c>
      <c r="C615" t="s">
        <v>9</v>
      </c>
      <c r="D615">
        <v>1295</v>
      </c>
      <c r="E615" s="9">
        <v>1645</v>
      </c>
      <c r="F615">
        <v>21</v>
      </c>
      <c r="G615">
        <v>4.5999999999999996</v>
      </c>
      <c r="H615" s="18">
        <v>12375</v>
      </c>
      <c r="I615" t="s">
        <v>2336</v>
      </c>
    </row>
    <row r="616" spans="1:9" x14ac:dyDescent="0.25">
      <c r="A616" t="s">
        <v>628</v>
      </c>
      <c r="B616" t="s">
        <v>1786</v>
      </c>
      <c r="C616" t="s">
        <v>413</v>
      </c>
      <c r="D616">
        <v>310</v>
      </c>
      <c r="E616" s="9">
        <v>310</v>
      </c>
      <c r="F616">
        <v>0</v>
      </c>
      <c r="G616">
        <v>4.5</v>
      </c>
      <c r="H616" s="18">
        <v>5882</v>
      </c>
      <c r="I616" t="s">
        <v>2340</v>
      </c>
    </row>
    <row r="617" spans="1:9" x14ac:dyDescent="0.25">
      <c r="A617" t="s">
        <v>629</v>
      </c>
      <c r="B617" t="s">
        <v>1787</v>
      </c>
      <c r="C617" t="s">
        <v>9</v>
      </c>
      <c r="D617">
        <v>1149</v>
      </c>
      <c r="E617" s="9">
        <v>1499</v>
      </c>
      <c r="F617">
        <v>23</v>
      </c>
      <c r="G617">
        <v>4.0999999999999996</v>
      </c>
      <c r="H617" s="18">
        <v>10443</v>
      </c>
      <c r="I617" t="s">
        <v>2336</v>
      </c>
    </row>
    <row r="618" spans="1:9" x14ac:dyDescent="0.25">
      <c r="A618" t="s">
        <v>630</v>
      </c>
      <c r="B618" t="s">
        <v>1788</v>
      </c>
      <c r="C618" t="s">
        <v>9</v>
      </c>
      <c r="D618">
        <v>499</v>
      </c>
      <c r="E618" s="9">
        <v>1299</v>
      </c>
      <c r="F618">
        <v>62</v>
      </c>
      <c r="G618">
        <v>4.5</v>
      </c>
      <c r="H618" s="18">
        <v>434</v>
      </c>
      <c r="I618" t="s">
        <v>2336</v>
      </c>
    </row>
    <row r="619" spans="1:9" x14ac:dyDescent="0.25">
      <c r="A619" t="s">
        <v>631</v>
      </c>
      <c r="B619" t="s">
        <v>1789</v>
      </c>
      <c r="C619" t="s">
        <v>10</v>
      </c>
      <c r="D619">
        <v>999</v>
      </c>
      <c r="E619" s="9">
        <v>4199</v>
      </c>
      <c r="F619">
        <v>76</v>
      </c>
      <c r="G619">
        <v>3.5</v>
      </c>
      <c r="H619" s="18">
        <v>1913</v>
      </c>
      <c r="I619" t="s">
        <v>2339</v>
      </c>
    </row>
    <row r="620" spans="1:9" x14ac:dyDescent="0.25">
      <c r="A620" t="s">
        <v>632</v>
      </c>
      <c r="B620" t="s">
        <v>1790</v>
      </c>
      <c r="C620" t="s">
        <v>9</v>
      </c>
      <c r="D620">
        <v>1709</v>
      </c>
      <c r="E620" s="9">
        <v>4000</v>
      </c>
      <c r="F620">
        <v>57</v>
      </c>
      <c r="G620">
        <v>4.4000000000000004</v>
      </c>
      <c r="H620" s="18">
        <v>3029</v>
      </c>
      <c r="I620" t="s">
        <v>2339</v>
      </c>
    </row>
    <row r="621" spans="1:9" x14ac:dyDescent="0.25">
      <c r="A621" t="s">
        <v>633</v>
      </c>
      <c r="B621" t="s">
        <v>1791</v>
      </c>
      <c r="C621" t="s">
        <v>411</v>
      </c>
      <c r="D621">
        <v>250</v>
      </c>
      <c r="E621" s="9">
        <v>250</v>
      </c>
      <c r="F621">
        <v>0</v>
      </c>
      <c r="G621">
        <v>4.2</v>
      </c>
      <c r="H621" s="18">
        <v>2628</v>
      </c>
      <c r="I621" t="s">
        <v>2340</v>
      </c>
    </row>
    <row r="622" spans="1:9" x14ac:dyDescent="0.25">
      <c r="A622" t="s">
        <v>634</v>
      </c>
      <c r="B622" t="s">
        <v>1792</v>
      </c>
      <c r="C622" t="s">
        <v>413</v>
      </c>
      <c r="D622">
        <v>90</v>
      </c>
      <c r="E622" s="9">
        <v>100</v>
      </c>
      <c r="F622">
        <v>10</v>
      </c>
      <c r="G622">
        <v>4.4000000000000004</v>
      </c>
      <c r="H622" s="18">
        <v>10718</v>
      </c>
      <c r="I622" t="s">
        <v>2340</v>
      </c>
    </row>
    <row r="623" spans="1:9" x14ac:dyDescent="0.25">
      <c r="A623" t="s">
        <v>635</v>
      </c>
      <c r="B623" t="s">
        <v>1793</v>
      </c>
      <c r="C623" t="s">
        <v>10</v>
      </c>
      <c r="D623">
        <v>2025</v>
      </c>
      <c r="E623" s="9">
        <v>5999</v>
      </c>
      <c r="F623">
        <v>66</v>
      </c>
      <c r="G623">
        <v>4.2</v>
      </c>
      <c r="H623" s="18">
        <v>6233</v>
      </c>
      <c r="I623" t="s">
        <v>2339</v>
      </c>
    </row>
    <row r="624" spans="1:9" x14ac:dyDescent="0.25">
      <c r="A624" t="s">
        <v>636</v>
      </c>
      <c r="B624" t="s">
        <v>1794</v>
      </c>
      <c r="C624" t="s">
        <v>9</v>
      </c>
      <c r="D624">
        <v>1495</v>
      </c>
      <c r="E624" s="9">
        <v>1995</v>
      </c>
      <c r="F624">
        <v>25</v>
      </c>
      <c r="G624">
        <v>4.5</v>
      </c>
      <c r="H624" s="18">
        <v>10541</v>
      </c>
      <c r="I624" t="s">
        <v>2336</v>
      </c>
    </row>
    <row r="625" spans="1:9" x14ac:dyDescent="0.25">
      <c r="A625" t="s">
        <v>637</v>
      </c>
      <c r="B625" t="s">
        <v>1795</v>
      </c>
      <c r="C625" t="s">
        <v>10</v>
      </c>
      <c r="D625">
        <v>899</v>
      </c>
      <c r="E625" s="9">
        <v>1199</v>
      </c>
      <c r="F625">
        <v>25</v>
      </c>
      <c r="G625">
        <v>3.8</v>
      </c>
      <c r="H625" s="18">
        <v>10751</v>
      </c>
      <c r="I625" t="s">
        <v>2336</v>
      </c>
    </row>
    <row r="626" spans="1:9" x14ac:dyDescent="0.25">
      <c r="A626" t="s">
        <v>638</v>
      </c>
      <c r="B626" t="s">
        <v>1796</v>
      </c>
      <c r="C626" t="s">
        <v>9</v>
      </c>
      <c r="D626">
        <v>349</v>
      </c>
      <c r="E626" s="9">
        <v>999</v>
      </c>
      <c r="F626">
        <v>65</v>
      </c>
      <c r="G626">
        <v>3.9</v>
      </c>
      <c r="H626" s="18">
        <v>817</v>
      </c>
      <c r="I626" t="s">
        <v>2336</v>
      </c>
    </row>
    <row r="627" spans="1:9" x14ac:dyDescent="0.25">
      <c r="A627" t="s">
        <v>639</v>
      </c>
      <c r="B627" t="s">
        <v>1797</v>
      </c>
      <c r="C627" t="s">
        <v>10</v>
      </c>
      <c r="D627">
        <v>900</v>
      </c>
      <c r="E627" s="9">
        <v>2499</v>
      </c>
      <c r="F627">
        <v>64</v>
      </c>
      <c r="G627">
        <v>4</v>
      </c>
      <c r="H627" s="18">
        <v>36384</v>
      </c>
      <c r="I627" t="s">
        <v>2339</v>
      </c>
    </row>
    <row r="628" spans="1:9" x14ac:dyDescent="0.25">
      <c r="A628" t="s">
        <v>640</v>
      </c>
      <c r="B628" t="s">
        <v>1798</v>
      </c>
      <c r="C628" t="s">
        <v>10</v>
      </c>
      <c r="D628">
        <v>2490</v>
      </c>
      <c r="E628" s="9">
        <v>3990</v>
      </c>
      <c r="F628">
        <v>38</v>
      </c>
      <c r="G628">
        <v>4.0999999999999996</v>
      </c>
      <c r="H628" s="18">
        <v>3606</v>
      </c>
      <c r="I628" t="s">
        <v>2339</v>
      </c>
    </row>
    <row r="629" spans="1:9" x14ac:dyDescent="0.25">
      <c r="A629" t="s">
        <v>641</v>
      </c>
      <c r="B629" t="s">
        <v>1799</v>
      </c>
      <c r="C629" t="s">
        <v>10</v>
      </c>
      <c r="D629">
        <v>116</v>
      </c>
      <c r="E629" s="9">
        <v>200</v>
      </c>
      <c r="F629">
        <v>42</v>
      </c>
      <c r="G629">
        <v>4.4000000000000004</v>
      </c>
      <c r="H629" s="18">
        <v>357</v>
      </c>
      <c r="I629" t="s">
        <v>2340</v>
      </c>
    </row>
    <row r="630" spans="1:9" x14ac:dyDescent="0.25">
      <c r="A630" t="s">
        <v>642</v>
      </c>
      <c r="B630" t="s">
        <v>1800</v>
      </c>
      <c r="C630" t="s">
        <v>413</v>
      </c>
      <c r="D630">
        <v>200</v>
      </c>
      <c r="E630" s="9">
        <v>230</v>
      </c>
      <c r="F630">
        <v>13</v>
      </c>
      <c r="G630">
        <v>4.4000000000000004</v>
      </c>
      <c r="H630" s="18">
        <v>10170</v>
      </c>
      <c r="I630" t="s">
        <v>2340</v>
      </c>
    </row>
    <row r="631" spans="1:9" x14ac:dyDescent="0.25">
      <c r="A631" t="s">
        <v>643</v>
      </c>
      <c r="B631" t="s">
        <v>1801</v>
      </c>
      <c r="C631" t="s">
        <v>9</v>
      </c>
      <c r="D631">
        <v>1249</v>
      </c>
      <c r="E631" s="9">
        <v>2796</v>
      </c>
      <c r="F631">
        <v>55</v>
      </c>
      <c r="G631">
        <v>4.4000000000000004</v>
      </c>
      <c r="H631" s="18">
        <v>4598</v>
      </c>
      <c r="I631" t="s">
        <v>2339</v>
      </c>
    </row>
    <row r="632" spans="1:9" x14ac:dyDescent="0.25">
      <c r="A632" t="s">
        <v>644</v>
      </c>
      <c r="B632" t="s">
        <v>1802</v>
      </c>
      <c r="C632" t="s">
        <v>9</v>
      </c>
      <c r="D632">
        <v>649</v>
      </c>
      <c r="E632" s="9">
        <v>999</v>
      </c>
      <c r="F632">
        <v>35</v>
      </c>
      <c r="G632">
        <v>3.5</v>
      </c>
      <c r="H632" s="18">
        <v>7222</v>
      </c>
      <c r="I632" t="s">
        <v>2336</v>
      </c>
    </row>
    <row r="633" spans="1:9" x14ac:dyDescent="0.25">
      <c r="A633" t="s">
        <v>645</v>
      </c>
      <c r="B633" t="s">
        <v>1803</v>
      </c>
      <c r="C633" t="s">
        <v>9</v>
      </c>
      <c r="D633">
        <v>2649</v>
      </c>
      <c r="E633" s="9">
        <v>3499</v>
      </c>
      <c r="F633">
        <v>24</v>
      </c>
      <c r="G633">
        <v>4.5</v>
      </c>
      <c r="H633" s="18">
        <v>1271</v>
      </c>
      <c r="I633" t="s">
        <v>2339</v>
      </c>
    </row>
    <row r="634" spans="1:9" x14ac:dyDescent="0.25">
      <c r="A634" t="s">
        <v>646</v>
      </c>
      <c r="B634" t="s">
        <v>1804</v>
      </c>
      <c r="C634" t="s">
        <v>9</v>
      </c>
      <c r="D634">
        <v>596</v>
      </c>
      <c r="E634" s="9">
        <v>723</v>
      </c>
      <c r="F634">
        <v>18</v>
      </c>
      <c r="G634">
        <v>4.4000000000000004</v>
      </c>
      <c r="H634" s="18">
        <v>3219</v>
      </c>
      <c r="I634" t="s">
        <v>2336</v>
      </c>
    </row>
    <row r="635" spans="1:9" x14ac:dyDescent="0.25">
      <c r="A635" t="s">
        <v>647</v>
      </c>
      <c r="B635" t="s">
        <v>1805</v>
      </c>
      <c r="C635" t="s">
        <v>10</v>
      </c>
      <c r="D635">
        <v>2499</v>
      </c>
      <c r="E635" s="9">
        <v>5999</v>
      </c>
      <c r="F635">
        <v>58</v>
      </c>
      <c r="G635">
        <v>4.0999999999999996</v>
      </c>
      <c r="H635" s="18">
        <v>38879</v>
      </c>
      <c r="I635" t="s">
        <v>2339</v>
      </c>
    </row>
    <row r="636" spans="1:9" x14ac:dyDescent="0.25">
      <c r="A636" t="s">
        <v>648</v>
      </c>
      <c r="B636" t="s">
        <v>1806</v>
      </c>
      <c r="C636" t="s">
        <v>10</v>
      </c>
      <c r="D636">
        <v>4999</v>
      </c>
      <c r="E636" s="9">
        <v>12499</v>
      </c>
      <c r="F636">
        <v>60</v>
      </c>
      <c r="G636">
        <v>4.2</v>
      </c>
      <c r="H636" s="18">
        <v>4541</v>
      </c>
      <c r="I636" t="s">
        <v>2339</v>
      </c>
    </row>
    <row r="637" spans="1:9" x14ac:dyDescent="0.25">
      <c r="A637" t="s">
        <v>649</v>
      </c>
      <c r="B637" t="s">
        <v>1807</v>
      </c>
      <c r="C637" t="s">
        <v>10</v>
      </c>
      <c r="D637">
        <v>399</v>
      </c>
      <c r="E637" s="9">
        <v>1290</v>
      </c>
      <c r="F637">
        <v>69</v>
      </c>
      <c r="G637">
        <v>4.2</v>
      </c>
      <c r="H637" s="18">
        <v>76042</v>
      </c>
      <c r="I637" t="s">
        <v>2336</v>
      </c>
    </row>
    <row r="638" spans="1:9" x14ac:dyDescent="0.25">
      <c r="A638" t="s">
        <v>650</v>
      </c>
      <c r="B638" t="s">
        <v>1808</v>
      </c>
      <c r="C638" t="s">
        <v>10</v>
      </c>
      <c r="D638">
        <v>116</v>
      </c>
      <c r="E638" s="9">
        <v>200</v>
      </c>
      <c r="F638">
        <v>42</v>
      </c>
      <c r="G638">
        <v>4.3</v>
      </c>
      <c r="H638" s="18">
        <v>485</v>
      </c>
      <c r="I638" t="s">
        <v>2340</v>
      </c>
    </row>
    <row r="639" spans="1:9" x14ac:dyDescent="0.25">
      <c r="A639" t="s">
        <v>651</v>
      </c>
      <c r="B639" t="s">
        <v>1809</v>
      </c>
      <c r="C639" t="s">
        <v>10</v>
      </c>
      <c r="D639">
        <v>4499</v>
      </c>
      <c r="E639" s="9">
        <v>5999</v>
      </c>
      <c r="F639">
        <v>25</v>
      </c>
      <c r="G639">
        <v>4.3</v>
      </c>
      <c r="H639" s="18">
        <v>44696</v>
      </c>
      <c r="I639" t="s">
        <v>2339</v>
      </c>
    </row>
    <row r="640" spans="1:9" x14ac:dyDescent="0.25">
      <c r="A640" t="s">
        <v>652</v>
      </c>
      <c r="B640" t="s">
        <v>1810</v>
      </c>
      <c r="C640" t="s">
        <v>9</v>
      </c>
      <c r="D640">
        <v>330</v>
      </c>
      <c r="E640" s="9">
        <v>499</v>
      </c>
      <c r="F640">
        <v>34</v>
      </c>
      <c r="G640">
        <v>3.7</v>
      </c>
      <c r="H640" s="18">
        <v>8566</v>
      </c>
      <c r="I640" t="s">
        <v>2340</v>
      </c>
    </row>
    <row r="641" spans="1:9" x14ac:dyDescent="0.25">
      <c r="A641" t="s">
        <v>653</v>
      </c>
      <c r="B641" t="s">
        <v>1811</v>
      </c>
      <c r="C641" t="s">
        <v>10</v>
      </c>
      <c r="D641">
        <v>649</v>
      </c>
      <c r="E641" s="9">
        <v>2499</v>
      </c>
      <c r="F641">
        <v>74</v>
      </c>
      <c r="G641">
        <v>3.9</v>
      </c>
      <c r="H641" s="18">
        <v>13049</v>
      </c>
      <c r="I641" t="s">
        <v>2339</v>
      </c>
    </row>
    <row r="642" spans="1:9" x14ac:dyDescent="0.25">
      <c r="A642" t="s">
        <v>654</v>
      </c>
      <c r="B642" t="s">
        <v>1812</v>
      </c>
      <c r="C642" t="s">
        <v>9</v>
      </c>
      <c r="D642">
        <v>1234</v>
      </c>
      <c r="E642" s="9">
        <v>1599</v>
      </c>
      <c r="F642">
        <v>23</v>
      </c>
      <c r="G642">
        <v>4.5</v>
      </c>
      <c r="H642" s="18">
        <v>16680</v>
      </c>
      <c r="I642" t="s">
        <v>2336</v>
      </c>
    </row>
    <row r="643" spans="1:9" x14ac:dyDescent="0.25">
      <c r="A643" t="s">
        <v>655</v>
      </c>
      <c r="B643" t="s">
        <v>1813</v>
      </c>
      <c r="C643" t="s">
        <v>411</v>
      </c>
      <c r="D643">
        <v>272</v>
      </c>
      <c r="E643" s="9">
        <v>320</v>
      </c>
      <c r="F643">
        <v>15</v>
      </c>
      <c r="G643">
        <v>4</v>
      </c>
      <c r="H643" s="18">
        <v>3686</v>
      </c>
      <c r="I643" t="s">
        <v>2340</v>
      </c>
    </row>
    <row r="644" spans="1:9" x14ac:dyDescent="0.25">
      <c r="A644" t="s">
        <v>656</v>
      </c>
      <c r="B644" t="s">
        <v>1814</v>
      </c>
      <c r="C644" t="s">
        <v>10</v>
      </c>
      <c r="D644">
        <v>99</v>
      </c>
      <c r="E644" s="9">
        <v>999</v>
      </c>
      <c r="F644">
        <v>90</v>
      </c>
      <c r="G644">
        <v>3.8</v>
      </c>
      <c r="H644" s="18">
        <v>594</v>
      </c>
      <c r="I644" t="s">
        <v>2336</v>
      </c>
    </row>
    <row r="645" spans="1:9" x14ac:dyDescent="0.25">
      <c r="A645" t="s">
        <v>657</v>
      </c>
      <c r="B645" t="s">
        <v>1815</v>
      </c>
      <c r="C645" t="s">
        <v>9</v>
      </c>
      <c r="D645">
        <v>3498</v>
      </c>
      <c r="E645" s="9">
        <v>3875</v>
      </c>
      <c r="F645">
        <v>10</v>
      </c>
      <c r="G645">
        <v>3.4</v>
      </c>
      <c r="H645" s="18">
        <v>12185</v>
      </c>
      <c r="I645" t="s">
        <v>2339</v>
      </c>
    </row>
    <row r="646" spans="1:9" x14ac:dyDescent="0.25">
      <c r="A646" t="s">
        <v>658</v>
      </c>
      <c r="B646" t="s">
        <v>1816</v>
      </c>
      <c r="C646" t="s">
        <v>9</v>
      </c>
      <c r="D646">
        <v>10099</v>
      </c>
      <c r="E646" s="9">
        <v>19110</v>
      </c>
      <c r="F646">
        <v>47</v>
      </c>
      <c r="G646">
        <v>4.3</v>
      </c>
      <c r="H646" s="18">
        <v>2623</v>
      </c>
      <c r="I646" t="s">
        <v>2339</v>
      </c>
    </row>
    <row r="647" spans="1:9" x14ac:dyDescent="0.25">
      <c r="A647" t="s">
        <v>1176</v>
      </c>
      <c r="B647" t="s">
        <v>1817</v>
      </c>
      <c r="C647" t="s">
        <v>659</v>
      </c>
      <c r="D647">
        <v>150</v>
      </c>
      <c r="E647" s="9">
        <v>150</v>
      </c>
      <c r="F647">
        <v>0</v>
      </c>
      <c r="G647">
        <v>4.3</v>
      </c>
      <c r="H647" s="18">
        <v>15867</v>
      </c>
      <c r="I647" t="s">
        <v>2340</v>
      </c>
    </row>
    <row r="648" spans="1:9" x14ac:dyDescent="0.25">
      <c r="A648" t="s">
        <v>660</v>
      </c>
      <c r="B648" t="s">
        <v>1818</v>
      </c>
      <c r="C648" t="s">
        <v>9</v>
      </c>
      <c r="D648">
        <v>1199</v>
      </c>
      <c r="E648" s="9">
        <v>2999</v>
      </c>
      <c r="F648">
        <v>60</v>
      </c>
      <c r="G648">
        <v>4.0999999999999996</v>
      </c>
      <c r="H648" s="18">
        <v>10725</v>
      </c>
      <c r="I648" t="s">
        <v>2339</v>
      </c>
    </row>
    <row r="649" spans="1:9" x14ac:dyDescent="0.25">
      <c r="A649" t="s">
        <v>661</v>
      </c>
      <c r="B649" t="s">
        <v>1819</v>
      </c>
      <c r="C649" t="s">
        <v>9</v>
      </c>
      <c r="D649">
        <v>397</v>
      </c>
      <c r="E649" s="9">
        <v>899</v>
      </c>
      <c r="F649">
        <v>56</v>
      </c>
      <c r="G649">
        <v>4</v>
      </c>
      <c r="H649" s="18">
        <v>3025</v>
      </c>
      <c r="I649" t="s">
        <v>2336</v>
      </c>
    </row>
    <row r="650" spans="1:9" x14ac:dyDescent="0.25">
      <c r="A650" t="s">
        <v>662</v>
      </c>
      <c r="B650" t="s">
        <v>1820</v>
      </c>
      <c r="C650" t="s">
        <v>9</v>
      </c>
      <c r="D650">
        <v>699</v>
      </c>
      <c r="E650" s="9">
        <v>1490</v>
      </c>
      <c r="F650">
        <v>53</v>
      </c>
      <c r="G650">
        <v>4</v>
      </c>
      <c r="H650" s="18">
        <v>5736</v>
      </c>
      <c r="I650" t="s">
        <v>2336</v>
      </c>
    </row>
    <row r="651" spans="1:9" x14ac:dyDescent="0.25">
      <c r="A651" t="s">
        <v>663</v>
      </c>
      <c r="B651" t="s">
        <v>1821</v>
      </c>
      <c r="C651" t="s">
        <v>10</v>
      </c>
      <c r="D651">
        <v>1679</v>
      </c>
      <c r="E651" s="9">
        <v>1999</v>
      </c>
      <c r="F651">
        <v>16</v>
      </c>
      <c r="G651">
        <v>4.0999999999999996</v>
      </c>
      <c r="H651" s="18">
        <v>72563</v>
      </c>
      <c r="I651" t="s">
        <v>2336</v>
      </c>
    </row>
    <row r="652" spans="1:9" x14ac:dyDescent="0.25">
      <c r="A652" t="s">
        <v>664</v>
      </c>
      <c r="B652" t="s">
        <v>1822</v>
      </c>
      <c r="C652" t="s">
        <v>9</v>
      </c>
      <c r="D652">
        <v>1199</v>
      </c>
      <c r="E652" s="9">
        <v>5499</v>
      </c>
      <c r="F652">
        <v>78</v>
      </c>
      <c r="G652">
        <v>3.8</v>
      </c>
      <c r="H652" s="18">
        <v>2043</v>
      </c>
      <c r="I652" t="s">
        <v>2339</v>
      </c>
    </row>
    <row r="653" spans="1:9" x14ac:dyDescent="0.25">
      <c r="A653" t="s">
        <v>665</v>
      </c>
      <c r="B653" t="s">
        <v>1823</v>
      </c>
      <c r="C653" t="s">
        <v>9</v>
      </c>
      <c r="D653">
        <v>379</v>
      </c>
      <c r="E653" s="9">
        <v>1499</v>
      </c>
      <c r="F653">
        <v>75</v>
      </c>
      <c r="G653">
        <v>4.2</v>
      </c>
      <c r="H653" s="18">
        <v>4149</v>
      </c>
      <c r="I653" t="s">
        <v>2336</v>
      </c>
    </row>
    <row r="654" spans="1:9" x14ac:dyDescent="0.25">
      <c r="A654" t="s">
        <v>666</v>
      </c>
      <c r="B654" t="s">
        <v>1824</v>
      </c>
      <c r="C654" t="s">
        <v>9</v>
      </c>
      <c r="D654">
        <v>499</v>
      </c>
      <c r="E654" s="9">
        <v>775</v>
      </c>
      <c r="F654">
        <v>36</v>
      </c>
      <c r="G654">
        <v>4.3</v>
      </c>
      <c r="H654" s="18">
        <v>74</v>
      </c>
      <c r="I654" t="s">
        <v>2336</v>
      </c>
    </row>
    <row r="655" spans="1:9" x14ac:dyDescent="0.25">
      <c r="A655" t="s">
        <v>667</v>
      </c>
      <c r="B655" t="s">
        <v>1825</v>
      </c>
      <c r="C655" t="s">
        <v>9</v>
      </c>
      <c r="D655">
        <v>10389</v>
      </c>
      <c r="E655" s="9">
        <v>32000</v>
      </c>
      <c r="F655">
        <v>68</v>
      </c>
      <c r="G655">
        <v>4.4000000000000004</v>
      </c>
      <c r="H655" s="18">
        <v>41398</v>
      </c>
      <c r="I655" t="s">
        <v>2339</v>
      </c>
    </row>
    <row r="656" spans="1:9" x14ac:dyDescent="0.25">
      <c r="A656" t="s">
        <v>668</v>
      </c>
      <c r="B656" t="s">
        <v>1826</v>
      </c>
      <c r="C656" t="s">
        <v>9</v>
      </c>
      <c r="D656">
        <v>649</v>
      </c>
      <c r="E656" s="9">
        <v>1300</v>
      </c>
      <c r="F656">
        <v>50</v>
      </c>
      <c r="G656">
        <v>4.0999999999999996</v>
      </c>
      <c r="H656" s="18">
        <v>5195</v>
      </c>
      <c r="I656" t="s">
        <v>2336</v>
      </c>
    </row>
    <row r="657" spans="1:9" x14ac:dyDescent="0.25">
      <c r="A657" t="s">
        <v>669</v>
      </c>
      <c r="B657" t="s">
        <v>1827</v>
      </c>
      <c r="C657" t="s">
        <v>9</v>
      </c>
      <c r="D657">
        <v>1199</v>
      </c>
      <c r="E657" s="9">
        <v>1999</v>
      </c>
      <c r="F657">
        <v>40</v>
      </c>
      <c r="G657">
        <v>4.5</v>
      </c>
      <c r="H657" s="18">
        <v>22420</v>
      </c>
      <c r="I657" t="s">
        <v>2336</v>
      </c>
    </row>
    <row r="658" spans="1:9" x14ac:dyDescent="0.25">
      <c r="A658" t="s">
        <v>670</v>
      </c>
      <c r="B658" t="s">
        <v>1828</v>
      </c>
      <c r="C658" t="s">
        <v>10</v>
      </c>
      <c r="D658">
        <v>889</v>
      </c>
      <c r="E658" s="9">
        <v>1999</v>
      </c>
      <c r="F658">
        <v>56</v>
      </c>
      <c r="G658">
        <v>4.2</v>
      </c>
      <c r="H658" s="18">
        <v>2284</v>
      </c>
      <c r="I658" t="s">
        <v>2336</v>
      </c>
    </row>
    <row r="659" spans="1:9" x14ac:dyDescent="0.25">
      <c r="A659" t="s">
        <v>671</v>
      </c>
      <c r="B659" t="s">
        <v>1829</v>
      </c>
      <c r="C659" t="s">
        <v>9</v>
      </c>
      <c r="D659">
        <v>1409</v>
      </c>
      <c r="E659" s="9">
        <v>2199</v>
      </c>
      <c r="F659">
        <v>36</v>
      </c>
      <c r="G659">
        <v>3.9</v>
      </c>
      <c r="H659" s="18">
        <v>427</v>
      </c>
      <c r="I659" t="s">
        <v>2339</v>
      </c>
    </row>
    <row r="660" spans="1:9" x14ac:dyDescent="0.25">
      <c r="A660" t="s">
        <v>672</v>
      </c>
      <c r="B660" t="s">
        <v>1830</v>
      </c>
      <c r="C660" t="s">
        <v>9</v>
      </c>
      <c r="D660">
        <v>549</v>
      </c>
      <c r="E660" s="9">
        <v>1999</v>
      </c>
      <c r="F660">
        <v>73</v>
      </c>
      <c r="G660">
        <v>4.3</v>
      </c>
      <c r="H660" s="18">
        <v>1367</v>
      </c>
      <c r="I660" t="s">
        <v>2336</v>
      </c>
    </row>
    <row r="661" spans="1:9" x14ac:dyDescent="0.25">
      <c r="A661" t="s">
        <v>673</v>
      </c>
      <c r="B661" t="s">
        <v>1831</v>
      </c>
      <c r="C661" t="s">
        <v>9</v>
      </c>
      <c r="D661">
        <v>749</v>
      </c>
      <c r="E661" s="9">
        <v>1799</v>
      </c>
      <c r="F661">
        <v>58</v>
      </c>
      <c r="G661">
        <v>4</v>
      </c>
      <c r="H661" s="18">
        <v>13199</v>
      </c>
      <c r="I661" t="s">
        <v>2336</v>
      </c>
    </row>
    <row r="662" spans="1:9" x14ac:dyDescent="0.25">
      <c r="A662" t="s">
        <v>674</v>
      </c>
      <c r="B662" t="s">
        <v>1832</v>
      </c>
      <c r="C662" t="s">
        <v>9</v>
      </c>
      <c r="D662">
        <v>379</v>
      </c>
      <c r="E662" s="9">
        <v>1099</v>
      </c>
      <c r="F662">
        <v>66</v>
      </c>
      <c r="G662">
        <v>4.3</v>
      </c>
      <c r="H662" s="18">
        <v>2806</v>
      </c>
      <c r="I662" t="s">
        <v>2336</v>
      </c>
    </row>
    <row r="663" spans="1:9" x14ac:dyDescent="0.25">
      <c r="A663" t="s">
        <v>675</v>
      </c>
      <c r="B663" t="s">
        <v>1833</v>
      </c>
      <c r="C663" t="s">
        <v>10</v>
      </c>
      <c r="D663">
        <v>5998</v>
      </c>
      <c r="E663" s="9">
        <v>7999</v>
      </c>
      <c r="F663">
        <v>25</v>
      </c>
      <c r="G663">
        <v>4.2</v>
      </c>
      <c r="H663" s="18">
        <v>30355</v>
      </c>
      <c r="I663" t="s">
        <v>2339</v>
      </c>
    </row>
    <row r="664" spans="1:9" x14ac:dyDescent="0.25">
      <c r="A664" t="s">
        <v>676</v>
      </c>
      <c r="B664" t="s">
        <v>1834</v>
      </c>
      <c r="C664" t="s">
        <v>9</v>
      </c>
      <c r="D664">
        <v>299</v>
      </c>
      <c r="E664" s="9">
        <v>1499</v>
      </c>
      <c r="F664">
        <v>80</v>
      </c>
      <c r="G664">
        <v>4.2</v>
      </c>
      <c r="H664" s="18">
        <v>2868</v>
      </c>
      <c r="I664" t="s">
        <v>2336</v>
      </c>
    </row>
    <row r="665" spans="1:9" x14ac:dyDescent="0.25">
      <c r="A665" t="s">
        <v>677</v>
      </c>
      <c r="B665" t="s">
        <v>1835</v>
      </c>
      <c r="C665" t="s">
        <v>9</v>
      </c>
      <c r="D665">
        <v>379</v>
      </c>
      <c r="E665" s="9">
        <v>1499</v>
      </c>
      <c r="F665">
        <v>75</v>
      </c>
      <c r="G665">
        <v>4.0999999999999996</v>
      </c>
      <c r="H665" s="18">
        <v>670</v>
      </c>
      <c r="I665" t="s">
        <v>2336</v>
      </c>
    </row>
    <row r="666" spans="1:9" x14ac:dyDescent="0.25">
      <c r="A666" t="s">
        <v>678</v>
      </c>
      <c r="B666" t="s">
        <v>1836</v>
      </c>
      <c r="C666" t="s">
        <v>411</v>
      </c>
      <c r="D666">
        <v>1399</v>
      </c>
      <c r="E666" s="9">
        <v>2999</v>
      </c>
      <c r="F666">
        <v>53</v>
      </c>
      <c r="G666">
        <v>4.3</v>
      </c>
      <c r="H666" s="18">
        <v>3530</v>
      </c>
      <c r="I666" t="s">
        <v>2339</v>
      </c>
    </row>
    <row r="667" spans="1:9" x14ac:dyDescent="0.25">
      <c r="A667" t="s">
        <v>679</v>
      </c>
      <c r="B667" t="s">
        <v>1837</v>
      </c>
      <c r="C667" t="s">
        <v>10</v>
      </c>
      <c r="D667">
        <v>699</v>
      </c>
      <c r="E667" s="9">
        <v>1299</v>
      </c>
      <c r="F667">
        <v>46</v>
      </c>
      <c r="G667">
        <v>4.3</v>
      </c>
      <c r="H667" s="18">
        <v>6183</v>
      </c>
      <c r="I667" t="s">
        <v>2336</v>
      </c>
    </row>
    <row r="668" spans="1:9" x14ac:dyDescent="0.25">
      <c r="A668" t="s">
        <v>680</v>
      </c>
      <c r="B668" t="s">
        <v>1838</v>
      </c>
      <c r="C668" t="s">
        <v>411</v>
      </c>
      <c r="D668">
        <v>300</v>
      </c>
      <c r="E668" s="9">
        <v>300</v>
      </c>
      <c r="F668">
        <v>0</v>
      </c>
      <c r="G668">
        <v>4.2</v>
      </c>
      <c r="H668" s="18">
        <v>419</v>
      </c>
      <c r="I668" t="s">
        <v>2340</v>
      </c>
    </row>
    <row r="669" spans="1:9" x14ac:dyDescent="0.25">
      <c r="A669" t="s">
        <v>681</v>
      </c>
      <c r="B669" t="s">
        <v>1839</v>
      </c>
      <c r="C669" t="s">
        <v>9</v>
      </c>
      <c r="D669">
        <v>999</v>
      </c>
      <c r="E669" s="9">
        <v>1995</v>
      </c>
      <c r="F669">
        <v>50</v>
      </c>
      <c r="G669">
        <v>4.5</v>
      </c>
      <c r="H669" s="18">
        <v>7317</v>
      </c>
      <c r="I669" t="s">
        <v>2336</v>
      </c>
    </row>
    <row r="670" spans="1:9" x14ac:dyDescent="0.25">
      <c r="A670" t="s">
        <v>682</v>
      </c>
      <c r="B670" t="s">
        <v>1840</v>
      </c>
      <c r="C670" t="s">
        <v>411</v>
      </c>
      <c r="D670">
        <v>535</v>
      </c>
      <c r="E670" s="9">
        <v>535</v>
      </c>
      <c r="F670">
        <v>0</v>
      </c>
      <c r="G670">
        <v>4.4000000000000004</v>
      </c>
      <c r="H670" s="18">
        <v>4426</v>
      </c>
      <c r="I670" t="s">
        <v>2336</v>
      </c>
    </row>
    <row r="671" spans="1:9" x14ac:dyDescent="0.25">
      <c r="A671" t="s">
        <v>683</v>
      </c>
      <c r="B671" t="s">
        <v>1841</v>
      </c>
      <c r="C671" t="s">
        <v>9</v>
      </c>
      <c r="D671">
        <v>269</v>
      </c>
      <c r="E671" s="9">
        <v>1099</v>
      </c>
      <c r="F671">
        <v>76</v>
      </c>
      <c r="G671">
        <v>4.0999999999999996</v>
      </c>
      <c r="H671" s="18">
        <v>1092</v>
      </c>
      <c r="I671" t="s">
        <v>2336</v>
      </c>
    </row>
    <row r="672" spans="1:9" x14ac:dyDescent="0.25">
      <c r="A672" t="s">
        <v>684</v>
      </c>
      <c r="B672" t="s">
        <v>1842</v>
      </c>
      <c r="C672" t="s">
        <v>411</v>
      </c>
      <c r="D672">
        <v>341</v>
      </c>
      <c r="E672" s="9">
        <v>450</v>
      </c>
      <c r="F672">
        <v>24</v>
      </c>
      <c r="G672">
        <v>4.3</v>
      </c>
      <c r="H672" s="18">
        <v>2493</v>
      </c>
      <c r="I672" t="s">
        <v>2340</v>
      </c>
    </row>
    <row r="673" spans="1:9" x14ac:dyDescent="0.25">
      <c r="A673" t="s">
        <v>685</v>
      </c>
      <c r="B673" t="s">
        <v>1843</v>
      </c>
      <c r="C673" t="s">
        <v>9</v>
      </c>
      <c r="D673">
        <v>2499</v>
      </c>
      <c r="E673" s="9">
        <v>3999</v>
      </c>
      <c r="F673">
        <v>38</v>
      </c>
      <c r="G673">
        <v>4.4000000000000004</v>
      </c>
      <c r="H673" s="18">
        <v>12679</v>
      </c>
      <c r="I673" t="s">
        <v>2339</v>
      </c>
    </row>
    <row r="674" spans="1:9" x14ac:dyDescent="0.25">
      <c r="A674" t="s">
        <v>686</v>
      </c>
      <c r="B674" t="s">
        <v>1844</v>
      </c>
      <c r="C674" t="s">
        <v>9</v>
      </c>
      <c r="D674">
        <v>5899</v>
      </c>
      <c r="E674" s="9">
        <v>7005</v>
      </c>
      <c r="F674">
        <v>16</v>
      </c>
      <c r="G674">
        <v>3.6</v>
      </c>
      <c r="H674" s="18">
        <v>4199</v>
      </c>
      <c r="I674" t="s">
        <v>2339</v>
      </c>
    </row>
    <row r="675" spans="1:9" x14ac:dyDescent="0.25">
      <c r="A675" t="s">
        <v>687</v>
      </c>
      <c r="B675" t="s">
        <v>1845</v>
      </c>
      <c r="C675" t="s">
        <v>9</v>
      </c>
      <c r="D675">
        <v>1565</v>
      </c>
      <c r="E675" s="9">
        <v>2999</v>
      </c>
      <c r="F675">
        <v>48</v>
      </c>
      <c r="G675">
        <v>4</v>
      </c>
      <c r="H675" s="18">
        <v>11113</v>
      </c>
      <c r="I675" t="s">
        <v>2339</v>
      </c>
    </row>
    <row r="676" spans="1:9" x14ac:dyDescent="0.25">
      <c r="A676" t="s">
        <v>688</v>
      </c>
      <c r="B676" t="s">
        <v>1846</v>
      </c>
      <c r="C676" t="s">
        <v>10</v>
      </c>
      <c r="D676">
        <v>326</v>
      </c>
      <c r="E676" s="9">
        <v>799</v>
      </c>
      <c r="F676">
        <v>59</v>
      </c>
      <c r="G676">
        <v>4.4000000000000004</v>
      </c>
      <c r="H676" s="18">
        <v>10773</v>
      </c>
      <c r="I676" t="s">
        <v>2336</v>
      </c>
    </row>
    <row r="677" spans="1:9" x14ac:dyDescent="0.25">
      <c r="A677" t="s">
        <v>689</v>
      </c>
      <c r="B677" t="s">
        <v>1847</v>
      </c>
      <c r="C677" t="s">
        <v>9</v>
      </c>
      <c r="D677">
        <v>657</v>
      </c>
      <c r="E677" s="9">
        <v>999</v>
      </c>
      <c r="F677">
        <v>34</v>
      </c>
      <c r="G677">
        <v>4.3</v>
      </c>
      <c r="H677" s="18">
        <v>13944</v>
      </c>
      <c r="I677" t="s">
        <v>2336</v>
      </c>
    </row>
    <row r="678" spans="1:9" x14ac:dyDescent="0.25">
      <c r="A678" t="s">
        <v>690</v>
      </c>
      <c r="B678" t="s">
        <v>1848</v>
      </c>
      <c r="C678" t="s">
        <v>9</v>
      </c>
      <c r="D678">
        <v>1995</v>
      </c>
      <c r="E678" s="9">
        <v>2895</v>
      </c>
      <c r="F678">
        <v>31</v>
      </c>
      <c r="G678">
        <v>4.5999999999999996</v>
      </c>
      <c r="H678" s="18">
        <v>10760</v>
      </c>
      <c r="I678" t="s">
        <v>2339</v>
      </c>
    </row>
    <row r="679" spans="1:9" x14ac:dyDescent="0.25">
      <c r="A679" t="s">
        <v>691</v>
      </c>
      <c r="B679" t="s">
        <v>1849</v>
      </c>
      <c r="C679" t="s">
        <v>10</v>
      </c>
      <c r="D679">
        <v>1500</v>
      </c>
      <c r="E679" s="9">
        <v>1500</v>
      </c>
      <c r="F679">
        <v>0</v>
      </c>
      <c r="G679">
        <v>4.4000000000000004</v>
      </c>
      <c r="H679" s="18">
        <v>25996</v>
      </c>
      <c r="I679" t="s">
        <v>2336</v>
      </c>
    </row>
    <row r="680" spans="1:9" x14ac:dyDescent="0.25">
      <c r="A680" t="s">
        <v>692</v>
      </c>
      <c r="B680" t="s">
        <v>1850</v>
      </c>
      <c r="C680" t="s">
        <v>9</v>
      </c>
      <c r="D680">
        <v>2640</v>
      </c>
      <c r="E680" s="9">
        <v>3195</v>
      </c>
      <c r="F680">
        <v>17</v>
      </c>
      <c r="G680">
        <v>4.5</v>
      </c>
      <c r="H680" s="18">
        <v>16146</v>
      </c>
      <c r="I680" t="s">
        <v>2339</v>
      </c>
    </row>
    <row r="681" spans="1:9" x14ac:dyDescent="0.25">
      <c r="A681" t="s">
        <v>693</v>
      </c>
      <c r="B681" t="s">
        <v>1851</v>
      </c>
      <c r="C681" t="s">
        <v>9</v>
      </c>
      <c r="D681">
        <v>5299</v>
      </c>
      <c r="E681" s="9">
        <v>6355</v>
      </c>
      <c r="F681">
        <v>17</v>
      </c>
      <c r="G681">
        <v>3.9</v>
      </c>
      <c r="H681" s="18">
        <v>8280</v>
      </c>
      <c r="I681" t="s">
        <v>2339</v>
      </c>
    </row>
    <row r="682" spans="1:9" x14ac:dyDescent="0.25">
      <c r="A682" t="s">
        <v>694</v>
      </c>
      <c r="B682" t="s">
        <v>1852</v>
      </c>
      <c r="C682" t="s">
        <v>9</v>
      </c>
      <c r="D682">
        <v>1990</v>
      </c>
      <c r="E682" s="9">
        <v>2999</v>
      </c>
      <c r="F682">
        <v>34</v>
      </c>
      <c r="G682">
        <v>4.3</v>
      </c>
      <c r="H682" s="18">
        <v>14237</v>
      </c>
      <c r="I682" t="s">
        <v>2339</v>
      </c>
    </row>
    <row r="683" spans="1:9" x14ac:dyDescent="0.25">
      <c r="A683" t="s">
        <v>695</v>
      </c>
      <c r="B683" t="s">
        <v>1853</v>
      </c>
      <c r="C683" t="s">
        <v>10</v>
      </c>
      <c r="D683">
        <v>1289</v>
      </c>
      <c r="E683" s="9">
        <v>1499</v>
      </c>
      <c r="F683">
        <v>14</v>
      </c>
      <c r="G683">
        <v>4.5</v>
      </c>
      <c r="H683" s="18">
        <v>20668</v>
      </c>
      <c r="I683" t="s">
        <v>2336</v>
      </c>
    </row>
    <row r="684" spans="1:9" x14ac:dyDescent="0.25">
      <c r="A684" t="s">
        <v>696</v>
      </c>
      <c r="B684" t="s">
        <v>1854</v>
      </c>
      <c r="C684" t="s">
        <v>411</v>
      </c>
      <c r="D684">
        <v>165</v>
      </c>
      <c r="E684" s="9">
        <v>165</v>
      </c>
      <c r="F684">
        <v>0</v>
      </c>
      <c r="G684">
        <v>4.5</v>
      </c>
      <c r="H684" s="18">
        <v>1674</v>
      </c>
      <c r="I684" t="s">
        <v>2340</v>
      </c>
    </row>
    <row r="685" spans="1:9" x14ac:dyDescent="0.25">
      <c r="A685" t="s">
        <v>697</v>
      </c>
      <c r="B685" t="s">
        <v>1855</v>
      </c>
      <c r="C685" t="s">
        <v>9</v>
      </c>
      <c r="D685">
        <v>1699</v>
      </c>
      <c r="E685" s="9">
        <v>3499</v>
      </c>
      <c r="F685">
        <v>51</v>
      </c>
      <c r="G685">
        <v>3.6</v>
      </c>
      <c r="H685" s="18">
        <v>7689</v>
      </c>
      <c r="I685" t="s">
        <v>2339</v>
      </c>
    </row>
    <row r="686" spans="1:9" x14ac:dyDescent="0.25">
      <c r="A686" t="s">
        <v>698</v>
      </c>
      <c r="B686" t="s">
        <v>1856</v>
      </c>
      <c r="C686" t="s">
        <v>10</v>
      </c>
      <c r="D686">
        <v>2299</v>
      </c>
      <c r="E686" s="9">
        <v>7500</v>
      </c>
      <c r="F686">
        <v>69</v>
      </c>
      <c r="G686">
        <v>4.0999999999999996</v>
      </c>
      <c r="H686" s="18">
        <v>5554</v>
      </c>
      <c r="I686" t="s">
        <v>2339</v>
      </c>
    </row>
    <row r="687" spans="1:9" x14ac:dyDescent="0.25">
      <c r="A687" t="s">
        <v>699</v>
      </c>
      <c r="B687" t="s">
        <v>1857</v>
      </c>
      <c r="C687" t="s">
        <v>9</v>
      </c>
      <c r="D687">
        <v>39</v>
      </c>
      <c r="E687" s="9">
        <v>39</v>
      </c>
      <c r="F687">
        <v>0</v>
      </c>
      <c r="G687">
        <v>3.8</v>
      </c>
      <c r="H687" s="18">
        <v>3344</v>
      </c>
      <c r="I687" t="s">
        <v>2340</v>
      </c>
    </row>
    <row r="688" spans="1:9" x14ac:dyDescent="0.25">
      <c r="A688" t="s">
        <v>700</v>
      </c>
      <c r="B688" t="s">
        <v>1858</v>
      </c>
      <c r="C688" t="s">
        <v>9</v>
      </c>
      <c r="D688">
        <v>26999</v>
      </c>
      <c r="E688" s="9">
        <v>37999</v>
      </c>
      <c r="F688">
        <v>29</v>
      </c>
      <c r="G688">
        <v>4.5999999999999996</v>
      </c>
      <c r="H688" s="18">
        <v>2886</v>
      </c>
      <c r="I688" t="s">
        <v>2339</v>
      </c>
    </row>
    <row r="689" spans="1:9" x14ac:dyDescent="0.25">
      <c r="A689" t="s">
        <v>701</v>
      </c>
      <c r="B689" t="s">
        <v>1859</v>
      </c>
      <c r="C689" t="s">
        <v>10</v>
      </c>
      <c r="D689">
        <v>1490</v>
      </c>
      <c r="E689" s="9">
        <v>1990</v>
      </c>
      <c r="F689">
        <v>25</v>
      </c>
      <c r="G689">
        <v>4.0999999999999996</v>
      </c>
      <c r="H689" s="18">
        <v>98250</v>
      </c>
      <c r="I689" t="s">
        <v>2336</v>
      </c>
    </row>
    <row r="690" spans="1:9" x14ac:dyDescent="0.25">
      <c r="A690" t="s">
        <v>702</v>
      </c>
      <c r="B690" t="s">
        <v>1860</v>
      </c>
      <c r="C690" t="s">
        <v>9</v>
      </c>
      <c r="D690">
        <v>398</v>
      </c>
      <c r="E690" s="9">
        <v>1949</v>
      </c>
      <c r="F690">
        <v>80</v>
      </c>
      <c r="G690">
        <v>4</v>
      </c>
      <c r="H690" s="18">
        <v>75</v>
      </c>
      <c r="I690" t="s">
        <v>2336</v>
      </c>
    </row>
    <row r="691" spans="1:9" x14ac:dyDescent="0.25">
      <c r="A691" t="s">
        <v>703</v>
      </c>
      <c r="B691" t="s">
        <v>1861</v>
      </c>
      <c r="C691" t="s">
        <v>9</v>
      </c>
      <c r="D691">
        <v>770</v>
      </c>
      <c r="E691" s="9">
        <v>1547</v>
      </c>
      <c r="F691">
        <v>50</v>
      </c>
      <c r="G691">
        <v>4.3</v>
      </c>
      <c r="H691" s="18">
        <v>2585</v>
      </c>
      <c r="I691" t="s">
        <v>2336</v>
      </c>
    </row>
    <row r="692" spans="1:9" x14ac:dyDescent="0.25">
      <c r="A692" t="s">
        <v>704</v>
      </c>
      <c r="B692" t="s">
        <v>1862</v>
      </c>
      <c r="C692" t="s">
        <v>10</v>
      </c>
      <c r="D692">
        <v>279</v>
      </c>
      <c r="E692" s="9">
        <v>1299</v>
      </c>
      <c r="F692">
        <v>79</v>
      </c>
      <c r="G692">
        <v>4</v>
      </c>
      <c r="H692" s="18">
        <v>5072</v>
      </c>
      <c r="I692" t="s">
        <v>2336</v>
      </c>
    </row>
    <row r="693" spans="1:9" x14ac:dyDescent="0.25">
      <c r="A693" t="s">
        <v>705</v>
      </c>
      <c r="B693" t="s">
        <v>1863</v>
      </c>
      <c r="C693" t="s">
        <v>559</v>
      </c>
      <c r="D693">
        <v>249</v>
      </c>
      <c r="E693" s="9">
        <v>599</v>
      </c>
      <c r="F693">
        <v>58</v>
      </c>
      <c r="G693">
        <v>4.5</v>
      </c>
      <c r="H693" s="18">
        <v>5985</v>
      </c>
      <c r="I693" t="s">
        <v>2336</v>
      </c>
    </row>
    <row r="694" spans="1:9" x14ac:dyDescent="0.25">
      <c r="A694" t="s">
        <v>706</v>
      </c>
      <c r="B694" t="s">
        <v>1864</v>
      </c>
      <c r="C694" t="s">
        <v>413</v>
      </c>
      <c r="D694">
        <v>230</v>
      </c>
      <c r="E694" s="9">
        <v>230</v>
      </c>
      <c r="F694">
        <v>0</v>
      </c>
      <c r="G694">
        <v>4.5</v>
      </c>
      <c r="H694" s="18">
        <v>9427</v>
      </c>
      <c r="I694" t="s">
        <v>2340</v>
      </c>
    </row>
    <row r="695" spans="1:9" x14ac:dyDescent="0.25">
      <c r="A695" t="s">
        <v>707</v>
      </c>
      <c r="B695" t="s">
        <v>1865</v>
      </c>
      <c r="C695" t="s">
        <v>9</v>
      </c>
      <c r="D695">
        <v>599</v>
      </c>
      <c r="E695" s="9">
        <v>700</v>
      </c>
      <c r="F695">
        <v>14</v>
      </c>
      <c r="G695">
        <v>4.3</v>
      </c>
      <c r="H695" s="18">
        <v>2301</v>
      </c>
      <c r="I695" t="s">
        <v>2336</v>
      </c>
    </row>
    <row r="696" spans="1:9" x14ac:dyDescent="0.25">
      <c r="A696" t="s">
        <v>708</v>
      </c>
      <c r="B696" t="s">
        <v>1866</v>
      </c>
      <c r="C696" t="s">
        <v>9</v>
      </c>
      <c r="D696">
        <v>598</v>
      </c>
      <c r="E696" s="9">
        <v>1150</v>
      </c>
      <c r="F696">
        <v>48</v>
      </c>
      <c r="G696">
        <v>4.0999999999999996</v>
      </c>
      <c r="H696" s="18">
        <v>2535</v>
      </c>
      <c r="I696" t="s">
        <v>2336</v>
      </c>
    </row>
    <row r="697" spans="1:9" x14ac:dyDescent="0.25">
      <c r="A697" t="s">
        <v>709</v>
      </c>
      <c r="B697" t="s">
        <v>1867</v>
      </c>
      <c r="C697" t="s">
        <v>9</v>
      </c>
      <c r="D697">
        <v>499</v>
      </c>
      <c r="E697" s="9">
        <v>1299</v>
      </c>
      <c r="F697">
        <v>62</v>
      </c>
      <c r="G697">
        <v>4.0999999999999996</v>
      </c>
      <c r="H697" s="18">
        <v>2740</v>
      </c>
      <c r="I697" t="s">
        <v>2336</v>
      </c>
    </row>
    <row r="698" spans="1:9" x14ac:dyDescent="0.25">
      <c r="A698" t="s">
        <v>710</v>
      </c>
      <c r="B698" t="s">
        <v>1868</v>
      </c>
      <c r="C698" t="s">
        <v>9</v>
      </c>
      <c r="D698">
        <v>579</v>
      </c>
      <c r="E698" s="9">
        <v>1090</v>
      </c>
      <c r="F698">
        <v>47</v>
      </c>
      <c r="G698">
        <v>4.4000000000000004</v>
      </c>
      <c r="H698" s="18">
        <v>3482</v>
      </c>
      <c r="I698" t="s">
        <v>2336</v>
      </c>
    </row>
    <row r="699" spans="1:9" x14ac:dyDescent="0.25">
      <c r="A699" t="s">
        <v>711</v>
      </c>
      <c r="B699" t="s">
        <v>1869</v>
      </c>
      <c r="C699" t="s">
        <v>411</v>
      </c>
      <c r="D699">
        <v>90</v>
      </c>
      <c r="E699" s="9">
        <v>100</v>
      </c>
      <c r="F699">
        <v>10</v>
      </c>
      <c r="G699">
        <v>4.0999999999999996</v>
      </c>
      <c r="H699" s="18">
        <v>6199</v>
      </c>
      <c r="I699" t="s">
        <v>2340</v>
      </c>
    </row>
    <row r="700" spans="1:9" x14ac:dyDescent="0.25">
      <c r="A700" t="s">
        <v>712</v>
      </c>
      <c r="B700" t="s">
        <v>1870</v>
      </c>
      <c r="C700" t="s">
        <v>9</v>
      </c>
      <c r="D700">
        <v>899</v>
      </c>
      <c r="E700" s="9">
        <v>1999</v>
      </c>
      <c r="F700">
        <v>55</v>
      </c>
      <c r="G700">
        <v>4.4000000000000004</v>
      </c>
      <c r="H700" s="18">
        <v>1667</v>
      </c>
      <c r="I700" t="s">
        <v>2336</v>
      </c>
    </row>
    <row r="701" spans="1:9" x14ac:dyDescent="0.25">
      <c r="A701" t="s">
        <v>713</v>
      </c>
      <c r="B701" t="s">
        <v>1871</v>
      </c>
      <c r="C701" t="s">
        <v>9</v>
      </c>
      <c r="D701">
        <v>1149</v>
      </c>
      <c r="E701" s="9">
        <v>1800</v>
      </c>
      <c r="F701">
        <v>36</v>
      </c>
      <c r="G701">
        <v>4.3</v>
      </c>
      <c r="H701" s="18">
        <v>4723</v>
      </c>
      <c r="I701" t="s">
        <v>2336</v>
      </c>
    </row>
    <row r="702" spans="1:9" x14ac:dyDescent="0.25">
      <c r="A702" t="s">
        <v>714</v>
      </c>
      <c r="B702" t="s">
        <v>1872</v>
      </c>
      <c r="C702" t="s">
        <v>9</v>
      </c>
      <c r="D702">
        <v>249</v>
      </c>
      <c r="E702" s="9">
        <v>499</v>
      </c>
      <c r="F702">
        <v>50</v>
      </c>
      <c r="G702">
        <v>4.2</v>
      </c>
      <c r="H702" s="18">
        <v>22860</v>
      </c>
      <c r="I702" t="s">
        <v>2340</v>
      </c>
    </row>
    <row r="703" spans="1:9" x14ac:dyDescent="0.25">
      <c r="A703" t="s">
        <v>715</v>
      </c>
      <c r="B703" t="s">
        <v>1873</v>
      </c>
      <c r="C703" t="s">
        <v>9</v>
      </c>
      <c r="D703">
        <v>39</v>
      </c>
      <c r="E703" s="9">
        <v>39</v>
      </c>
      <c r="F703">
        <v>0</v>
      </c>
      <c r="G703">
        <v>3.6</v>
      </c>
      <c r="H703" s="18">
        <v>13572</v>
      </c>
      <c r="I703" t="s">
        <v>2340</v>
      </c>
    </row>
    <row r="704" spans="1:9" x14ac:dyDescent="0.25">
      <c r="A704" t="s">
        <v>716</v>
      </c>
      <c r="B704" t="s">
        <v>1874</v>
      </c>
      <c r="C704" t="s">
        <v>9</v>
      </c>
      <c r="D704">
        <v>1599</v>
      </c>
      <c r="E704" s="9">
        <v>3599</v>
      </c>
      <c r="F704">
        <v>56</v>
      </c>
      <c r="G704">
        <v>4.2</v>
      </c>
      <c r="H704" s="18">
        <v>16182</v>
      </c>
      <c r="I704" t="s">
        <v>2339</v>
      </c>
    </row>
    <row r="705" spans="1:9" x14ac:dyDescent="0.25">
      <c r="A705" t="s">
        <v>717</v>
      </c>
      <c r="B705" t="s">
        <v>1875</v>
      </c>
      <c r="C705" t="s">
        <v>10</v>
      </c>
      <c r="D705">
        <v>1199</v>
      </c>
      <c r="E705" s="9">
        <v>3990</v>
      </c>
      <c r="F705">
        <v>70</v>
      </c>
      <c r="G705">
        <v>4.2</v>
      </c>
      <c r="H705" s="18">
        <v>2908</v>
      </c>
      <c r="I705" t="s">
        <v>2339</v>
      </c>
    </row>
    <row r="706" spans="1:9" x14ac:dyDescent="0.25">
      <c r="A706" t="s">
        <v>718</v>
      </c>
      <c r="B706" t="s">
        <v>1876</v>
      </c>
      <c r="C706" t="s">
        <v>9</v>
      </c>
      <c r="D706">
        <v>1099</v>
      </c>
      <c r="E706" s="9">
        <v>1499</v>
      </c>
      <c r="F706">
        <v>27</v>
      </c>
      <c r="G706">
        <v>4.2</v>
      </c>
      <c r="H706" s="18">
        <v>2375</v>
      </c>
      <c r="I706" t="s">
        <v>2336</v>
      </c>
    </row>
    <row r="707" spans="1:9" x14ac:dyDescent="0.25">
      <c r="A707" t="s">
        <v>719</v>
      </c>
      <c r="B707" t="s">
        <v>1877</v>
      </c>
      <c r="C707" t="s">
        <v>411</v>
      </c>
      <c r="D707">
        <v>120</v>
      </c>
      <c r="E707" s="9">
        <v>120</v>
      </c>
      <c r="F707">
        <v>0</v>
      </c>
      <c r="G707">
        <v>4.5</v>
      </c>
      <c r="H707" s="18">
        <v>4951</v>
      </c>
      <c r="I707" t="s">
        <v>2340</v>
      </c>
    </row>
    <row r="708" spans="1:9" x14ac:dyDescent="0.25">
      <c r="A708" t="s">
        <v>720</v>
      </c>
      <c r="B708" t="s">
        <v>1878</v>
      </c>
      <c r="C708" t="s">
        <v>9</v>
      </c>
      <c r="D708">
        <v>1519</v>
      </c>
      <c r="E708" s="9">
        <v>3499</v>
      </c>
      <c r="F708">
        <v>57</v>
      </c>
      <c r="G708">
        <v>4.3</v>
      </c>
      <c r="H708" s="18">
        <v>408</v>
      </c>
      <c r="I708" t="s">
        <v>2339</v>
      </c>
    </row>
    <row r="709" spans="1:9" x14ac:dyDescent="0.25">
      <c r="A709" t="s">
        <v>721</v>
      </c>
      <c r="B709" t="s">
        <v>1879</v>
      </c>
      <c r="C709" t="s">
        <v>411</v>
      </c>
      <c r="D709">
        <v>420</v>
      </c>
      <c r="E709" s="9">
        <v>420</v>
      </c>
      <c r="F709">
        <v>0</v>
      </c>
      <c r="G709">
        <v>4.2</v>
      </c>
      <c r="H709" s="18">
        <v>1926</v>
      </c>
      <c r="I709" t="s">
        <v>2340</v>
      </c>
    </row>
    <row r="710" spans="1:9" x14ac:dyDescent="0.25">
      <c r="A710" t="s">
        <v>722</v>
      </c>
      <c r="B710" t="s">
        <v>1880</v>
      </c>
      <c r="C710" t="s">
        <v>411</v>
      </c>
      <c r="D710">
        <v>225</v>
      </c>
      <c r="E710" s="9">
        <v>225</v>
      </c>
      <c r="F710">
        <v>0</v>
      </c>
      <c r="G710">
        <v>4.0999999999999996</v>
      </c>
      <c r="H710" s="18">
        <v>4798</v>
      </c>
      <c r="I710" t="s">
        <v>2340</v>
      </c>
    </row>
    <row r="711" spans="1:9" x14ac:dyDescent="0.25">
      <c r="A711" t="s">
        <v>723</v>
      </c>
      <c r="B711" t="s">
        <v>1881</v>
      </c>
      <c r="C711" t="s">
        <v>9</v>
      </c>
      <c r="D711">
        <v>199</v>
      </c>
      <c r="E711" s="9">
        <v>799</v>
      </c>
      <c r="F711">
        <v>75</v>
      </c>
      <c r="G711">
        <v>4.0999999999999996</v>
      </c>
      <c r="H711" s="18">
        <v>7333</v>
      </c>
      <c r="I711" t="s">
        <v>2336</v>
      </c>
    </row>
    <row r="712" spans="1:9" x14ac:dyDescent="0.25">
      <c r="A712" t="s">
        <v>724</v>
      </c>
      <c r="B712" t="s">
        <v>1882</v>
      </c>
      <c r="C712" t="s">
        <v>9</v>
      </c>
      <c r="D712">
        <v>8349</v>
      </c>
      <c r="E712" s="9">
        <v>9625</v>
      </c>
      <c r="F712">
        <v>13</v>
      </c>
      <c r="G712">
        <v>3.8</v>
      </c>
      <c r="H712" s="18">
        <v>3652</v>
      </c>
      <c r="I712" t="s">
        <v>2339</v>
      </c>
    </row>
    <row r="713" spans="1:9" x14ac:dyDescent="0.25">
      <c r="A713" t="s">
        <v>725</v>
      </c>
      <c r="B713" t="s">
        <v>1883</v>
      </c>
      <c r="C713" t="s">
        <v>9</v>
      </c>
      <c r="D713">
        <v>3307</v>
      </c>
      <c r="E713" s="9">
        <v>6100</v>
      </c>
      <c r="F713">
        <v>46</v>
      </c>
      <c r="G713">
        <v>4.3</v>
      </c>
      <c r="H713" s="18">
        <v>2515</v>
      </c>
      <c r="I713" t="s">
        <v>2339</v>
      </c>
    </row>
    <row r="714" spans="1:9" x14ac:dyDescent="0.25">
      <c r="A714" t="s">
        <v>726</v>
      </c>
      <c r="B714" t="s">
        <v>1884</v>
      </c>
      <c r="C714" t="s">
        <v>9</v>
      </c>
      <c r="D714">
        <v>449</v>
      </c>
      <c r="E714" s="9">
        <v>1300</v>
      </c>
      <c r="F714">
        <v>65</v>
      </c>
      <c r="G714">
        <v>4.2</v>
      </c>
      <c r="H714" s="18">
        <v>4959</v>
      </c>
      <c r="I714" t="s">
        <v>2336</v>
      </c>
    </row>
    <row r="715" spans="1:9" x14ac:dyDescent="0.25">
      <c r="A715" t="s">
        <v>727</v>
      </c>
      <c r="B715" t="s">
        <v>1885</v>
      </c>
      <c r="C715" t="s">
        <v>10</v>
      </c>
      <c r="D715">
        <v>380</v>
      </c>
      <c r="E715" s="9">
        <v>400</v>
      </c>
      <c r="F715">
        <v>5</v>
      </c>
      <c r="G715">
        <v>4.4000000000000004</v>
      </c>
      <c r="H715" s="18">
        <v>2111</v>
      </c>
      <c r="I715" t="s">
        <v>2340</v>
      </c>
    </row>
    <row r="716" spans="1:9" x14ac:dyDescent="0.25">
      <c r="A716" t="s">
        <v>728</v>
      </c>
      <c r="B716" t="s">
        <v>1886</v>
      </c>
      <c r="C716" t="s">
        <v>9</v>
      </c>
      <c r="D716">
        <v>499</v>
      </c>
      <c r="E716" s="9">
        <v>1399</v>
      </c>
      <c r="F716">
        <v>64</v>
      </c>
      <c r="G716">
        <v>3.9</v>
      </c>
      <c r="H716" s="18">
        <v>1462</v>
      </c>
      <c r="I716" t="s">
        <v>2336</v>
      </c>
    </row>
    <row r="717" spans="1:9" x14ac:dyDescent="0.25">
      <c r="A717" t="s">
        <v>729</v>
      </c>
      <c r="B717" t="s">
        <v>1887</v>
      </c>
      <c r="C717" t="s">
        <v>9</v>
      </c>
      <c r="D717">
        <v>37247</v>
      </c>
      <c r="E717" s="9">
        <v>59890</v>
      </c>
      <c r="F717">
        <v>38</v>
      </c>
      <c r="G717">
        <v>4</v>
      </c>
      <c r="H717" s="18">
        <v>323</v>
      </c>
      <c r="I717" t="s">
        <v>2339</v>
      </c>
    </row>
    <row r="718" spans="1:9" x14ac:dyDescent="0.25">
      <c r="A718" t="s">
        <v>730</v>
      </c>
      <c r="B718" t="s">
        <v>1888</v>
      </c>
      <c r="C718" t="s">
        <v>10</v>
      </c>
      <c r="D718">
        <v>849</v>
      </c>
      <c r="E718" s="9">
        <v>2490</v>
      </c>
      <c r="F718">
        <v>66</v>
      </c>
      <c r="G718">
        <v>4.2</v>
      </c>
      <c r="H718" s="18">
        <v>91188</v>
      </c>
      <c r="I718" t="s">
        <v>2339</v>
      </c>
    </row>
    <row r="719" spans="1:9" x14ac:dyDescent="0.25">
      <c r="A719" t="s">
        <v>731</v>
      </c>
      <c r="B719" t="s">
        <v>1889</v>
      </c>
      <c r="C719" t="s">
        <v>10</v>
      </c>
      <c r="D719">
        <v>799</v>
      </c>
      <c r="E719" s="9">
        <v>1999</v>
      </c>
      <c r="F719">
        <v>60</v>
      </c>
      <c r="G719">
        <v>3.7</v>
      </c>
      <c r="H719" s="18">
        <v>418</v>
      </c>
      <c r="I719" t="s">
        <v>2336</v>
      </c>
    </row>
    <row r="720" spans="1:9" x14ac:dyDescent="0.25">
      <c r="A720" t="s">
        <v>732</v>
      </c>
      <c r="B720" t="s">
        <v>1890</v>
      </c>
      <c r="C720" t="s">
        <v>9</v>
      </c>
      <c r="D720">
        <v>298</v>
      </c>
      <c r="E720" s="9">
        <v>999</v>
      </c>
      <c r="F720">
        <v>70</v>
      </c>
      <c r="G720">
        <v>4.3</v>
      </c>
      <c r="H720" s="18">
        <v>1552</v>
      </c>
      <c r="I720" t="s">
        <v>2336</v>
      </c>
    </row>
    <row r="721" spans="1:9" x14ac:dyDescent="0.25">
      <c r="A721" t="s">
        <v>733</v>
      </c>
      <c r="B721" t="s">
        <v>1891</v>
      </c>
      <c r="C721" t="s">
        <v>10</v>
      </c>
      <c r="D721">
        <v>1499</v>
      </c>
      <c r="E721" s="9">
        <v>2999</v>
      </c>
      <c r="F721">
        <v>50</v>
      </c>
      <c r="G721">
        <v>4.0999999999999996</v>
      </c>
      <c r="H721" s="18">
        <v>25262</v>
      </c>
      <c r="I721" t="s">
        <v>2339</v>
      </c>
    </row>
    <row r="722" spans="1:9" x14ac:dyDescent="0.25">
      <c r="A722" t="s">
        <v>734</v>
      </c>
      <c r="B722" t="s">
        <v>1892</v>
      </c>
      <c r="C722" t="s">
        <v>413</v>
      </c>
      <c r="D722">
        <v>1199</v>
      </c>
      <c r="E722" s="9">
        <v>1695</v>
      </c>
      <c r="F722">
        <v>29</v>
      </c>
      <c r="G722">
        <v>3.6</v>
      </c>
      <c r="H722" s="18">
        <v>13300</v>
      </c>
      <c r="I722" t="s">
        <v>2336</v>
      </c>
    </row>
    <row r="723" spans="1:9" x14ac:dyDescent="0.25">
      <c r="A723" t="s">
        <v>735</v>
      </c>
      <c r="B723" t="s">
        <v>1893</v>
      </c>
      <c r="C723" t="s">
        <v>413</v>
      </c>
      <c r="D723">
        <v>1199</v>
      </c>
      <c r="E723" s="9">
        <v>2000</v>
      </c>
      <c r="F723">
        <v>40</v>
      </c>
      <c r="G723">
        <v>4</v>
      </c>
      <c r="H723" s="18">
        <v>18543</v>
      </c>
      <c r="I723" t="s">
        <v>2339</v>
      </c>
    </row>
    <row r="724" spans="1:9" x14ac:dyDescent="0.25">
      <c r="A724" t="s">
        <v>736</v>
      </c>
      <c r="B724" t="s">
        <v>1894</v>
      </c>
      <c r="C724" t="s">
        <v>413</v>
      </c>
      <c r="D724">
        <v>455</v>
      </c>
      <c r="E724" s="9">
        <v>999</v>
      </c>
      <c r="F724">
        <v>54</v>
      </c>
      <c r="G724">
        <v>4.0999999999999996</v>
      </c>
      <c r="H724" s="18">
        <v>3578</v>
      </c>
      <c r="I724" t="s">
        <v>2336</v>
      </c>
    </row>
    <row r="725" spans="1:9" x14ac:dyDescent="0.25">
      <c r="A725" t="s">
        <v>737</v>
      </c>
      <c r="B725" t="s">
        <v>1895</v>
      </c>
      <c r="C725" t="s">
        <v>413</v>
      </c>
      <c r="D725">
        <v>199</v>
      </c>
      <c r="E725" s="9">
        <v>1999</v>
      </c>
      <c r="F725">
        <v>90</v>
      </c>
      <c r="G725">
        <v>3.7</v>
      </c>
      <c r="H725" s="18">
        <v>2031</v>
      </c>
      <c r="I725" t="s">
        <v>2336</v>
      </c>
    </row>
    <row r="726" spans="1:9" x14ac:dyDescent="0.25">
      <c r="A726" t="s">
        <v>738</v>
      </c>
      <c r="B726" t="s">
        <v>1896</v>
      </c>
      <c r="C726" t="s">
        <v>413</v>
      </c>
      <c r="D726">
        <v>293</v>
      </c>
      <c r="E726" s="9">
        <v>499</v>
      </c>
      <c r="F726">
        <v>41</v>
      </c>
      <c r="G726">
        <v>3.9</v>
      </c>
      <c r="H726" s="18">
        <v>44994</v>
      </c>
      <c r="I726" t="s">
        <v>2340</v>
      </c>
    </row>
    <row r="727" spans="1:9" x14ac:dyDescent="0.25">
      <c r="A727" t="s">
        <v>739</v>
      </c>
      <c r="B727" t="s">
        <v>1897</v>
      </c>
      <c r="C727" t="s">
        <v>413</v>
      </c>
      <c r="D727">
        <v>199</v>
      </c>
      <c r="E727" s="9">
        <v>495</v>
      </c>
      <c r="F727">
        <v>60</v>
      </c>
      <c r="G727">
        <v>4.0999999999999996</v>
      </c>
      <c r="H727" s="18">
        <v>270563</v>
      </c>
      <c r="I727" t="s">
        <v>2340</v>
      </c>
    </row>
    <row r="728" spans="1:9" x14ac:dyDescent="0.25">
      <c r="A728" t="s">
        <v>740</v>
      </c>
      <c r="B728" t="s">
        <v>1898</v>
      </c>
      <c r="C728" t="s">
        <v>413</v>
      </c>
      <c r="D728">
        <v>749</v>
      </c>
      <c r="E728" s="9">
        <v>1245</v>
      </c>
      <c r="F728">
        <v>40</v>
      </c>
      <c r="G728">
        <v>3.9</v>
      </c>
      <c r="H728" s="18">
        <v>31783</v>
      </c>
      <c r="I728" t="s">
        <v>2336</v>
      </c>
    </row>
    <row r="729" spans="1:9" x14ac:dyDescent="0.25">
      <c r="A729" t="s">
        <v>741</v>
      </c>
      <c r="B729" t="s">
        <v>1899</v>
      </c>
      <c r="C729" t="s">
        <v>413</v>
      </c>
      <c r="D729">
        <v>1399</v>
      </c>
      <c r="E729" s="9">
        <v>1549</v>
      </c>
      <c r="F729">
        <v>10</v>
      </c>
      <c r="G729">
        <v>3.9</v>
      </c>
      <c r="H729" s="18">
        <v>2602</v>
      </c>
      <c r="I729" t="s">
        <v>2336</v>
      </c>
    </row>
    <row r="730" spans="1:9" x14ac:dyDescent="0.25">
      <c r="A730" t="s">
        <v>742</v>
      </c>
      <c r="B730" t="s">
        <v>1900</v>
      </c>
      <c r="C730" t="s">
        <v>413</v>
      </c>
      <c r="D730">
        <v>749</v>
      </c>
      <c r="E730" s="9">
        <v>1445</v>
      </c>
      <c r="F730">
        <v>48</v>
      </c>
      <c r="G730">
        <v>3.9</v>
      </c>
      <c r="H730" s="18">
        <v>63350</v>
      </c>
      <c r="I730" t="s">
        <v>2336</v>
      </c>
    </row>
    <row r="731" spans="1:9" x14ac:dyDescent="0.25">
      <c r="A731" t="s">
        <v>743</v>
      </c>
      <c r="B731" t="s">
        <v>1901</v>
      </c>
      <c r="C731" t="s">
        <v>413</v>
      </c>
      <c r="D731">
        <v>1699</v>
      </c>
      <c r="E731" s="9">
        <v>3193</v>
      </c>
      <c r="F731">
        <v>47</v>
      </c>
      <c r="G731">
        <v>3.8</v>
      </c>
      <c r="H731" s="18">
        <v>54032</v>
      </c>
      <c r="I731" t="s">
        <v>2339</v>
      </c>
    </row>
    <row r="732" spans="1:9" x14ac:dyDescent="0.25">
      <c r="A732" t="s">
        <v>744</v>
      </c>
      <c r="B732" t="s">
        <v>1902</v>
      </c>
      <c r="C732" t="s">
        <v>413</v>
      </c>
      <c r="D732">
        <v>1043</v>
      </c>
      <c r="E732" s="9">
        <v>1345</v>
      </c>
      <c r="F732">
        <v>22</v>
      </c>
      <c r="G732">
        <v>3.8</v>
      </c>
      <c r="H732" s="18">
        <v>15592</v>
      </c>
      <c r="I732" t="s">
        <v>2336</v>
      </c>
    </row>
    <row r="733" spans="1:9" x14ac:dyDescent="0.25">
      <c r="A733" t="s">
        <v>745</v>
      </c>
      <c r="B733" t="s">
        <v>1903</v>
      </c>
      <c r="C733" t="s">
        <v>413</v>
      </c>
      <c r="D733">
        <v>499</v>
      </c>
      <c r="E733" s="9">
        <v>999</v>
      </c>
      <c r="F733">
        <v>50</v>
      </c>
      <c r="G733">
        <v>4.0999999999999996</v>
      </c>
      <c r="H733" s="18">
        <v>4859</v>
      </c>
      <c r="I733" t="s">
        <v>2336</v>
      </c>
    </row>
    <row r="734" spans="1:9" x14ac:dyDescent="0.25">
      <c r="A734" t="s">
        <v>746</v>
      </c>
      <c r="B734" t="s">
        <v>1904</v>
      </c>
      <c r="C734" t="s">
        <v>413</v>
      </c>
      <c r="D734">
        <v>1464</v>
      </c>
      <c r="E734" s="9">
        <v>1650</v>
      </c>
      <c r="F734">
        <v>11</v>
      </c>
      <c r="G734">
        <v>4.0999999999999996</v>
      </c>
      <c r="H734" s="18">
        <v>14120</v>
      </c>
      <c r="I734" t="s">
        <v>2336</v>
      </c>
    </row>
    <row r="735" spans="1:9" x14ac:dyDescent="0.25">
      <c r="A735" t="s">
        <v>747</v>
      </c>
      <c r="B735" t="s">
        <v>1905</v>
      </c>
      <c r="C735" t="s">
        <v>413</v>
      </c>
      <c r="D735">
        <v>249</v>
      </c>
      <c r="E735" s="9">
        <v>499</v>
      </c>
      <c r="F735">
        <v>50</v>
      </c>
      <c r="G735">
        <v>3.3</v>
      </c>
      <c r="H735" s="18">
        <v>8427</v>
      </c>
      <c r="I735" t="s">
        <v>2340</v>
      </c>
    </row>
    <row r="736" spans="1:9" x14ac:dyDescent="0.25">
      <c r="A736" t="s">
        <v>748</v>
      </c>
      <c r="B736" t="s">
        <v>1906</v>
      </c>
      <c r="C736" t="s">
        <v>413</v>
      </c>
      <c r="D736">
        <v>625</v>
      </c>
      <c r="E736" s="9">
        <v>1400</v>
      </c>
      <c r="F736">
        <v>55</v>
      </c>
      <c r="G736">
        <v>4.2</v>
      </c>
      <c r="H736" s="18">
        <v>23316</v>
      </c>
      <c r="I736" t="s">
        <v>2336</v>
      </c>
    </row>
    <row r="737" spans="1:9" x14ac:dyDescent="0.25">
      <c r="A737" t="s">
        <v>749</v>
      </c>
      <c r="B737" t="s">
        <v>1907</v>
      </c>
      <c r="C737" t="s">
        <v>413</v>
      </c>
      <c r="D737">
        <v>1290</v>
      </c>
      <c r="E737" s="9">
        <v>2500</v>
      </c>
      <c r="F737">
        <v>48</v>
      </c>
      <c r="G737">
        <v>4</v>
      </c>
      <c r="H737" s="18">
        <v>6530</v>
      </c>
      <c r="I737" t="s">
        <v>2339</v>
      </c>
    </row>
    <row r="738" spans="1:9" x14ac:dyDescent="0.25">
      <c r="A738" t="s">
        <v>750</v>
      </c>
      <c r="B738" t="s">
        <v>1908</v>
      </c>
      <c r="C738" t="s">
        <v>413</v>
      </c>
      <c r="D738">
        <v>3600</v>
      </c>
      <c r="E738" s="9">
        <v>6190</v>
      </c>
      <c r="F738">
        <v>42</v>
      </c>
      <c r="G738">
        <v>4.3</v>
      </c>
      <c r="H738" s="18">
        <v>11924</v>
      </c>
      <c r="I738" t="s">
        <v>2339</v>
      </c>
    </row>
    <row r="739" spans="1:9" x14ac:dyDescent="0.25">
      <c r="A739" t="s">
        <v>751</v>
      </c>
      <c r="B739" t="s">
        <v>1909</v>
      </c>
      <c r="C739" t="s">
        <v>413</v>
      </c>
      <c r="D739">
        <v>6549</v>
      </c>
      <c r="E739" s="9">
        <v>13999</v>
      </c>
      <c r="F739">
        <v>53</v>
      </c>
      <c r="G739">
        <v>4</v>
      </c>
      <c r="H739" s="18">
        <v>2961</v>
      </c>
      <c r="I739" t="s">
        <v>2339</v>
      </c>
    </row>
    <row r="740" spans="1:9" x14ac:dyDescent="0.25">
      <c r="A740" t="s">
        <v>752</v>
      </c>
      <c r="B740" t="s">
        <v>1910</v>
      </c>
      <c r="C740" t="s">
        <v>413</v>
      </c>
      <c r="D740">
        <v>1625</v>
      </c>
      <c r="E740" s="9">
        <v>2995</v>
      </c>
      <c r="F740">
        <v>46</v>
      </c>
      <c r="G740">
        <v>4.5</v>
      </c>
      <c r="H740" s="18">
        <v>23484</v>
      </c>
      <c r="I740" t="s">
        <v>2339</v>
      </c>
    </row>
    <row r="741" spans="1:9" x14ac:dyDescent="0.25">
      <c r="A741" t="s">
        <v>753</v>
      </c>
      <c r="B741" t="s">
        <v>1911</v>
      </c>
      <c r="C741" t="s">
        <v>413</v>
      </c>
      <c r="D741">
        <v>2599</v>
      </c>
      <c r="E741" s="9">
        <v>5890</v>
      </c>
      <c r="F741">
        <v>56</v>
      </c>
      <c r="G741">
        <v>4.0999999999999996</v>
      </c>
      <c r="H741" s="18">
        <v>21783</v>
      </c>
      <c r="I741" t="s">
        <v>2339</v>
      </c>
    </row>
    <row r="742" spans="1:9" x14ac:dyDescent="0.25">
      <c r="A742" t="s">
        <v>754</v>
      </c>
      <c r="B742" t="s">
        <v>1912</v>
      </c>
      <c r="C742" t="s">
        <v>413</v>
      </c>
      <c r="D742">
        <v>1199</v>
      </c>
      <c r="E742" s="9">
        <v>2000</v>
      </c>
      <c r="F742">
        <v>40</v>
      </c>
      <c r="G742">
        <v>4</v>
      </c>
      <c r="H742" s="18">
        <v>14030</v>
      </c>
      <c r="I742" t="s">
        <v>2339</v>
      </c>
    </row>
    <row r="743" spans="1:9" x14ac:dyDescent="0.25">
      <c r="A743" t="s">
        <v>755</v>
      </c>
      <c r="B743" t="s">
        <v>1913</v>
      </c>
      <c r="C743" t="s">
        <v>413</v>
      </c>
      <c r="D743">
        <v>5499</v>
      </c>
      <c r="E743" s="9">
        <v>13150</v>
      </c>
      <c r="F743">
        <v>58</v>
      </c>
      <c r="G743">
        <v>4.2</v>
      </c>
      <c r="H743" s="18">
        <v>6398</v>
      </c>
      <c r="I743" t="s">
        <v>2339</v>
      </c>
    </row>
    <row r="744" spans="1:9" x14ac:dyDescent="0.25">
      <c r="A744" t="s">
        <v>756</v>
      </c>
      <c r="B744" t="s">
        <v>1914</v>
      </c>
      <c r="C744" t="s">
        <v>413</v>
      </c>
      <c r="D744">
        <v>1299</v>
      </c>
      <c r="E744" s="9">
        <v>3500</v>
      </c>
      <c r="F744">
        <v>63</v>
      </c>
      <c r="G744">
        <v>3.8</v>
      </c>
      <c r="H744" s="18">
        <v>44050</v>
      </c>
      <c r="I744" t="s">
        <v>2339</v>
      </c>
    </row>
    <row r="745" spans="1:9" x14ac:dyDescent="0.25">
      <c r="A745" t="s">
        <v>757</v>
      </c>
      <c r="B745" t="s">
        <v>1915</v>
      </c>
      <c r="C745" t="s">
        <v>413</v>
      </c>
      <c r="D745">
        <v>599</v>
      </c>
      <c r="E745" s="9">
        <v>785</v>
      </c>
      <c r="F745">
        <v>24</v>
      </c>
      <c r="G745">
        <v>4.2</v>
      </c>
      <c r="H745" s="18">
        <v>24247</v>
      </c>
      <c r="I745" t="s">
        <v>2336</v>
      </c>
    </row>
    <row r="746" spans="1:9" x14ac:dyDescent="0.25">
      <c r="A746" t="s">
        <v>758</v>
      </c>
      <c r="B746" t="s">
        <v>1916</v>
      </c>
      <c r="C746" t="s">
        <v>413</v>
      </c>
      <c r="D746">
        <v>1999</v>
      </c>
      <c r="E746" s="9">
        <v>3210</v>
      </c>
      <c r="F746">
        <v>38</v>
      </c>
      <c r="G746">
        <v>4.2</v>
      </c>
      <c r="H746" s="18">
        <v>41349</v>
      </c>
      <c r="I746" t="s">
        <v>2339</v>
      </c>
    </row>
    <row r="747" spans="1:9" x14ac:dyDescent="0.25">
      <c r="A747" t="s">
        <v>759</v>
      </c>
      <c r="B747" t="s">
        <v>1917</v>
      </c>
      <c r="C747" t="s">
        <v>413</v>
      </c>
      <c r="D747">
        <v>549</v>
      </c>
      <c r="E747" s="9">
        <v>1000</v>
      </c>
      <c r="F747">
        <v>45</v>
      </c>
      <c r="G747">
        <v>3.6</v>
      </c>
      <c r="H747" s="18">
        <v>1074</v>
      </c>
      <c r="I747" t="s">
        <v>2336</v>
      </c>
    </row>
    <row r="748" spans="1:9" x14ac:dyDescent="0.25">
      <c r="A748" t="s">
        <v>760</v>
      </c>
      <c r="B748" t="s">
        <v>1918</v>
      </c>
      <c r="C748" t="s">
        <v>413</v>
      </c>
      <c r="D748">
        <v>999</v>
      </c>
      <c r="E748" s="9">
        <v>2000</v>
      </c>
      <c r="F748">
        <v>50</v>
      </c>
      <c r="G748">
        <v>3.8</v>
      </c>
      <c r="H748" s="18">
        <v>1163</v>
      </c>
      <c r="I748" t="s">
        <v>2339</v>
      </c>
    </row>
    <row r="749" spans="1:9" x14ac:dyDescent="0.25">
      <c r="A749" t="s">
        <v>761</v>
      </c>
      <c r="B749" t="s">
        <v>1919</v>
      </c>
      <c r="C749" t="s">
        <v>413</v>
      </c>
      <c r="D749">
        <v>398</v>
      </c>
      <c r="E749" s="9">
        <v>1999</v>
      </c>
      <c r="F749">
        <v>80</v>
      </c>
      <c r="G749">
        <v>4.0999999999999996</v>
      </c>
      <c r="H749" s="18">
        <v>257</v>
      </c>
      <c r="I749" t="s">
        <v>2336</v>
      </c>
    </row>
    <row r="750" spans="1:9" x14ac:dyDescent="0.25">
      <c r="A750" t="s">
        <v>762</v>
      </c>
      <c r="B750" t="s">
        <v>1920</v>
      </c>
      <c r="C750" t="s">
        <v>413</v>
      </c>
      <c r="D750">
        <v>539</v>
      </c>
      <c r="E750" s="9">
        <v>720</v>
      </c>
      <c r="F750">
        <v>25</v>
      </c>
      <c r="G750">
        <v>4.0999999999999996</v>
      </c>
      <c r="H750" s="18">
        <v>36017</v>
      </c>
      <c r="I750" t="s">
        <v>2336</v>
      </c>
    </row>
    <row r="751" spans="1:9" x14ac:dyDescent="0.25">
      <c r="A751" t="s">
        <v>763</v>
      </c>
      <c r="B751" t="s">
        <v>1921</v>
      </c>
      <c r="C751" t="s">
        <v>413</v>
      </c>
      <c r="D751">
        <v>699</v>
      </c>
      <c r="E751" s="9">
        <v>1595</v>
      </c>
      <c r="F751">
        <v>56</v>
      </c>
      <c r="G751">
        <v>4.0999999999999996</v>
      </c>
      <c r="H751" s="18">
        <v>8090</v>
      </c>
      <c r="I751" t="s">
        <v>2336</v>
      </c>
    </row>
    <row r="752" spans="1:9" x14ac:dyDescent="0.25">
      <c r="A752" t="s">
        <v>764</v>
      </c>
      <c r="B752" t="s">
        <v>1922</v>
      </c>
      <c r="C752" t="s">
        <v>413</v>
      </c>
      <c r="D752">
        <v>2148</v>
      </c>
      <c r="E752" s="9">
        <v>3645</v>
      </c>
      <c r="F752">
        <v>41</v>
      </c>
      <c r="G752">
        <v>4.0999999999999996</v>
      </c>
      <c r="H752" s="18">
        <v>31388</v>
      </c>
      <c r="I752" t="s">
        <v>2339</v>
      </c>
    </row>
    <row r="753" spans="1:9" x14ac:dyDescent="0.25">
      <c r="A753" t="s">
        <v>765</v>
      </c>
      <c r="B753" t="s">
        <v>1923</v>
      </c>
      <c r="C753" t="s">
        <v>413</v>
      </c>
      <c r="D753">
        <v>3599</v>
      </c>
      <c r="E753" s="9">
        <v>7950</v>
      </c>
      <c r="F753">
        <v>55</v>
      </c>
      <c r="G753">
        <v>4.2</v>
      </c>
      <c r="H753" s="18">
        <v>136</v>
      </c>
      <c r="I753" t="s">
        <v>2339</v>
      </c>
    </row>
    <row r="754" spans="1:9" x14ac:dyDescent="0.25">
      <c r="A754" t="s">
        <v>766</v>
      </c>
      <c r="B754" t="s">
        <v>1924</v>
      </c>
      <c r="C754" t="s">
        <v>413</v>
      </c>
      <c r="D754">
        <v>1614</v>
      </c>
      <c r="E754" s="9">
        <v>1745</v>
      </c>
      <c r="F754">
        <v>8</v>
      </c>
      <c r="G754">
        <v>4.3</v>
      </c>
      <c r="H754" s="18">
        <v>37974</v>
      </c>
      <c r="I754" t="s">
        <v>2336</v>
      </c>
    </row>
    <row r="755" spans="1:9" x14ac:dyDescent="0.25">
      <c r="A755" t="s">
        <v>767</v>
      </c>
      <c r="B755" t="s">
        <v>1925</v>
      </c>
      <c r="C755" t="s">
        <v>413</v>
      </c>
      <c r="D755">
        <v>719</v>
      </c>
      <c r="E755" s="9">
        <v>1295</v>
      </c>
      <c r="F755">
        <v>44</v>
      </c>
      <c r="G755">
        <v>4.2</v>
      </c>
      <c r="H755" s="18">
        <v>17218</v>
      </c>
      <c r="I755" t="s">
        <v>2336</v>
      </c>
    </row>
    <row r="756" spans="1:9" x14ac:dyDescent="0.25">
      <c r="A756" t="s">
        <v>768</v>
      </c>
      <c r="B756" t="s">
        <v>1926</v>
      </c>
      <c r="C756" t="s">
        <v>413</v>
      </c>
      <c r="D756">
        <v>678</v>
      </c>
      <c r="E756" s="9">
        <v>1499</v>
      </c>
      <c r="F756">
        <v>55</v>
      </c>
      <c r="G756">
        <v>4.2</v>
      </c>
      <c r="H756" s="18">
        <v>900</v>
      </c>
      <c r="I756" t="s">
        <v>2336</v>
      </c>
    </row>
    <row r="757" spans="1:9" x14ac:dyDescent="0.25">
      <c r="A757" t="s">
        <v>769</v>
      </c>
      <c r="B757" t="s">
        <v>1927</v>
      </c>
      <c r="C757" t="s">
        <v>413</v>
      </c>
      <c r="D757">
        <v>809</v>
      </c>
      <c r="E757" s="9">
        <v>1545</v>
      </c>
      <c r="F757">
        <v>48</v>
      </c>
      <c r="G757">
        <v>3.7</v>
      </c>
      <c r="H757" s="18">
        <v>976</v>
      </c>
      <c r="I757" t="s">
        <v>2336</v>
      </c>
    </row>
    <row r="758" spans="1:9" x14ac:dyDescent="0.25">
      <c r="A758" t="s">
        <v>770</v>
      </c>
      <c r="B758" t="s">
        <v>1928</v>
      </c>
      <c r="C758" t="s">
        <v>413</v>
      </c>
      <c r="D758">
        <v>1969</v>
      </c>
      <c r="E758" s="9">
        <v>5000</v>
      </c>
      <c r="F758">
        <v>61</v>
      </c>
      <c r="G758">
        <v>4.0999999999999996</v>
      </c>
      <c r="H758" s="18">
        <v>4927</v>
      </c>
      <c r="I758" t="s">
        <v>2339</v>
      </c>
    </row>
    <row r="759" spans="1:9" x14ac:dyDescent="0.25">
      <c r="A759" t="s">
        <v>771</v>
      </c>
      <c r="B759" t="s">
        <v>1929</v>
      </c>
      <c r="C759" t="s">
        <v>413</v>
      </c>
      <c r="D759">
        <v>1490</v>
      </c>
      <c r="E759" s="9">
        <v>1695</v>
      </c>
      <c r="F759">
        <v>12</v>
      </c>
      <c r="G759">
        <v>4.4000000000000004</v>
      </c>
      <c r="H759" s="18">
        <v>3543</v>
      </c>
      <c r="I759" t="s">
        <v>2336</v>
      </c>
    </row>
    <row r="760" spans="1:9" x14ac:dyDescent="0.25">
      <c r="A760" t="s">
        <v>772</v>
      </c>
      <c r="B760" t="s">
        <v>1930</v>
      </c>
      <c r="C760" t="s">
        <v>413</v>
      </c>
      <c r="D760">
        <v>2499</v>
      </c>
      <c r="E760" s="9">
        <v>3945</v>
      </c>
      <c r="F760">
        <v>37</v>
      </c>
      <c r="G760">
        <v>3.8</v>
      </c>
      <c r="H760" s="18">
        <v>2732</v>
      </c>
      <c r="I760" t="s">
        <v>2339</v>
      </c>
    </row>
    <row r="761" spans="1:9" x14ac:dyDescent="0.25">
      <c r="A761" t="s">
        <v>773</v>
      </c>
      <c r="B761" t="s">
        <v>1931</v>
      </c>
      <c r="C761" t="s">
        <v>413</v>
      </c>
      <c r="D761">
        <v>1665</v>
      </c>
      <c r="E761" s="9">
        <v>2099</v>
      </c>
      <c r="F761">
        <v>21</v>
      </c>
      <c r="G761">
        <v>4</v>
      </c>
      <c r="H761" s="18">
        <v>14368</v>
      </c>
      <c r="I761" t="s">
        <v>2339</v>
      </c>
    </row>
    <row r="762" spans="1:9" x14ac:dyDescent="0.25">
      <c r="A762" t="s">
        <v>774</v>
      </c>
      <c r="B762" t="s">
        <v>1932</v>
      </c>
      <c r="C762" t="s">
        <v>413</v>
      </c>
      <c r="D762">
        <v>3229</v>
      </c>
      <c r="E762" s="9">
        <v>5295</v>
      </c>
      <c r="F762">
        <v>39</v>
      </c>
      <c r="G762">
        <v>4.2</v>
      </c>
      <c r="H762" s="18">
        <v>39724</v>
      </c>
      <c r="I762" t="s">
        <v>2339</v>
      </c>
    </row>
    <row r="763" spans="1:9" x14ac:dyDescent="0.25">
      <c r="A763" t="s">
        <v>775</v>
      </c>
      <c r="B763" t="s">
        <v>1933</v>
      </c>
      <c r="C763" t="s">
        <v>413</v>
      </c>
      <c r="D763">
        <v>1799</v>
      </c>
      <c r="E763" s="9">
        <v>3595</v>
      </c>
      <c r="F763">
        <v>50</v>
      </c>
      <c r="G763">
        <v>3.8</v>
      </c>
      <c r="H763" s="18">
        <v>9791</v>
      </c>
      <c r="I763" t="s">
        <v>2339</v>
      </c>
    </row>
    <row r="764" spans="1:9" x14ac:dyDescent="0.25">
      <c r="A764" t="s">
        <v>776</v>
      </c>
      <c r="B764" t="s">
        <v>1934</v>
      </c>
      <c r="C764" t="s">
        <v>413</v>
      </c>
      <c r="D764">
        <v>1260</v>
      </c>
      <c r="E764" s="9">
        <v>1699</v>
      </c>
      <c r="F764">
        <v>26</v>
      </c>
      <c r="G764">
        <v>4.2</v>
      </c>
      <c r="H764" s="18">
        <v>2891</v>
      </c>
      <c r="I764" t="s">
        <v>2336</v>
      </c>
    </row>
    <row r="765" spans="1:9" x14ac:dyDescent="0.25">
      <c r="A765" t="s">
        <v>777</v>
      </c>
      <c r="B765" t="s">
        <v>1935</v>
      </c>
      <c r="C765" t="s">
        <v>413</v>
      </c>
      <c r="D765">
        <v>749</v>
      </c>
      <c r="E765" s="9">
        <v>1129</v>
      </c>
      <c r="F765">
        <v>34</v>
      </c>
      <c r="G765">
        <v>4</v>
      </c>
      <c r="H765" s="18">
        <v>2446</v>
      </c>
      <c r="I765" t="s">
        <v>2336</v>
      </c>
    </row>
    <row r="766" spans="1:9" x14ac:dyDescent="0.25">
      <c r="A766" t="s">
        <v>778</v>
      </c>
      <c r="B766" t="s">
        <v>1936</v>
      </c>
      <c r="C766" t="s">
        <v>413</v>
      </c>
      <c r="D766">
        <v>3499</v>
      </c>
      <c r="E766" s="9">
        <v>5795</v>
      </c>
      <c r="F766">
        <v>40</v>
      </c>
      <c r="G766">
        <v>3.9</v>
      </c>
      <c r="H766" s="18">
        <v>25340</v>
      </c>
      <c r="I766" t="s">
        <v>2339</v>
      </c>
    </row>
    <row r="767" spans="1:9" x14ac:dyDescent="0.25">
      <c r="A767" t="s">
        <v>779</v>
      </c>
      <c r="B767" t="s">
        <v>1937</v>
      </c>
      <c r="C767" t="s">
        <v>413</v>
      </c>
      <c r="D767">
        <v>379</v>
      </c>
      <c r="E767" s="9">
        <v>999</v>
      </c>
      <c r="F767">
        <v>62</v>
      </c>
      <c r="G767">
        <v>4.3</v>
      </c>
      <c r="H767" s="18">
        <v>3096</v>
      </c>
      <c r="I767" t="s">
        <v>2336</v>
      </c>
    </row>
    <row r="768" spans="1:9" x14ac:dyDescent="0.25">
      <c r="A768" t="s">
        <v>780</v>
      </c>
      <c r="B768" t="s">
        <v>1938</v>
      </c>
      <c r="C768" t="s">
        <v>413</v>
      </c>
      <c r="D768">
        <v>1099</v>
      </c>
      <c r="E768" s="9">
        <v>2400</v>
      </c>
      <c r="F768">
        <v>54</v>
      </c>
      <c r="G768">
        <v>3.8</v>
      </c>
      <c r="H768" s="18">
        <v>4</v>
      </c>
      <c r="I768" t="s">
        <v>2339</v>
      </c>
    </row>
    <row r="769" spans="1:9" x14ac:dyDescent="0.25">
      <c r="A769" t="s">
        <v>781</v>
      </c>
      <c r="B769" t="s">
        <v>1939</v>
      </c>
      <c r="C769" t="s">
        <v>413</v>
      </c>
      <c r="D769">
        <v>749</v>
      </c>
      <c r="E769" s="9">
        <v>1299</v>
      </c>
      <c r="F769">
        <v>42</v>
      </c>
      <c r="G769">
        <v>4</v>
      </c>
      <c r="H769" s="18">
        <v>119</v>
      </c>
      <c r="I769" t="s">
        <v>2336</v>
      </c>
    </row>
    <row r="770" spans="1:9" x14ac:dyDescent="0.25">
      <c r="A770" t="s">
        <v>782</v>
      </c>
      <c r="B770" t="s">
        <v>1940</v>
      </c>
      <c r="C770" t="s">
        <v>413</v>
      </c>
      <c r="D770">
        <v>1299</v>
      </c>
      <c r="E770" s="9">
        <v>1299</v>
      </c>
      <c r="F770">
        <v>0</v>
      </c>
      <c r="G770">
        <v>4.2</v>
      </c>
      <c r="H770" s="18">
        <v>40106</v>
      </c>
      <c r="I770" t="s">
        <v>2336</v>
      </c>
    </row>
    <row r="771" spans="1:9" x14ac:dyDescent="0.25">
      <c r="A771" t="s">
        <v>783</v>
      </c>
      <c r="B771" t="s">
        <v>1941</v>
      </c>
      <c r="C771" t="s">
        <v>413</v>
      </c>
      <c r="D771">
        <v>549</v>
      </c>
      <c r="E771" s="9">
        <v>1090</v>
      </c>
      <c r="F771">
        <v>50</v>
      </c>
      <c r="G771">
        <v>4.2</v>
      </c>
      <c r="H771" s="18">
        <v>13029</v>
      </c>
      <c r="I771" t="s">
        <v>2336</v>
      </c>
    </row>
    <row r="772" spans="1:9" x14ac:dyDescent="0.25">
      <c r="A772" t="s">
        <v>784</v>
      </c>
      <c r="B772" t="s">
        <v>1942</v>
      </c>
      <c r="C772" t="s">
        <v>413</v>
      </c>
      <c r="D772">
        <v>899</v>
      </c>
      <c r="E772" s="9">
        <v>2000</v>
      </c>
      <c r="F772">
        <v>55</v>
      </c>
      <c r="G772">
        <v>3.6</v>
      </c>
      <c r="H772" s="18">
        <v>291</v>
      </c>
      <c r="I772" t="s">
        <v>2339</v>
      </c>
    </row>
    <row r="773" spans="1:9" x14ac:dyDescent="0.25">
      <c r="A773" t="s">
        <v>785</v>
      </c>
      <c r="B773" t="s">
        <v>1943</v>
      </c>
      <c r="C773" t="s">
        <v>413</v>
      </c>
      <c r="D773">
        <v>1321</v>
      </c>
      <c r="E773" s="9">
        <v>1545</v>
      </c>
      <c r="F773">
        <v>14</v>
      </c>
      <c r="G773">
        <v>4.3</v>
      </c>
      <c r="H773" s="18">
        <v>15453</v>
      </c>
      <c r="I773" t="s">
        <v>2336</v>
      </c>
    </row>
    <row r="774" spans="1:9" x14ac:dyDescent="0.25">
      <c r="A774" t="s">
        <v>786</v>
      </c>
      <c r="B774" t="s">
        <v>1944</v>
      </c>
      <c r="C774" t="s">
        <v>413</v>
      </c>
      <c r="D774">
        <v>1099</v>
      </c>
      <c r="E774" s="9">
        <v>1999</v>
      </c>
      <c r="F774">
        <v>45</v>
      </c>
      <c r="G774">
        <v>4</v>
      </c>
      <c r="H774" s="18">
        <v>604</v>
      </c>
      <c r="I774" t="s">
        <v>2336</v>
      </c>
    </row>
    <row r="775" spans="1:9" x14ac:dyDescent="0.25">
      <c r="A775" t="s">
        <v>787</v>
      </c>
      <c r="B775" t="s">
        <v>1945</v>
      </c>
      <c r="C775" t="s">
        <v>413</v>
      </c>
      <c r="D775">
        <v>775</v>
      </c>
      <c r="E775" s="9">
        <v>875</v>
      </c>
      <c r="F775">
        <v>11</v>
      </c>
      <c r="G775">
        <v>4.2</v>
      </c>
      <c r="H775" s="18">
        <v>46647</v>
      </c>
      <c r="I775" t="s">
        <v>2336</v>
      </c>
    </row>
    <row r="776" spans="1:9" x14ac:dyDescent="0.25">
      <c r="A776" t="s">
        <v>788</v>
      </c>
      <c r="B776" t="s">
        <v>1946</v>
      </c>
      <c r="C776" t="s">
        <v>413</v>
      </c>
      <c r="D776">
        <v>6299</v>
      </c>
      <c r="E776" s="9">
        <v>15270</v>
      </c>
      <c r="F776">
        <v>59</v>
      </c>
      <c r="G776">
        <v>4.0999999999999996</v>
      </c>
      <c r="H776" s="18">
        <v>3233</v>
      </c>
      <c r="I776" t="s">
        <v>2339</v>
      </c>
    </row>
    <row r="777" spans="1:9" x14ac:dyDescent="0.25">
      <c r="A777" t="s">
        <v>789</v>
      </c>
      <c r="B777" t="s">
        <v>1947</v>
      </c>
      <c r="C777" t="s">
        <v>413</v>
      </c>
      <c r="D777">
        <v>3190</v>
      </c>
      <c r="E777" s="9">
        <v>4195</v>
      </c>
      <c r="F777">
        <v>24</v>
      </c>
      <c r="G777">
        <v>4</v>
      </c>
      <c r="H777" s="18">
        <v>1282</v>
      </c>
      <c r="I777" t="s">
        <v>2339</v>
      </c>
    </row>
    <row r="778" spans="1:9" x14ac:dyDescent="0.25">
      <c r="A778" t="s">
        <v>790</v>
      </c>
      <c r="B778" t="s">
        <v>1948</v>
      </c>
      <c r="C778" t="s">
        <v>413</v>
      </c>
      <c r="D778">
        <v>799</v>
      </c>
      <c r="E778" s="9">
        <v>1989</v>
      </c>
      <c r="F778">
        <v>60</v>
      </c>
      <c r="G778">
        <v>4.3</v>
      </c>
      <c r="H778" s="18">
        <v>70</v>
      </c>
      <c r="I778" t="s">
        <v>2336</v>
      </c>
    </row>
    <row r="779" spans="1:9" x14ac:dyDescent="0.25">
      <c r="A779" t="s">
        <v>791</v>
      </c>
      <c r="B779" t="s">
        <v>1949</v>
      </c>
      <c r="C779" t="s">
        <v>413</v>
      </c>
      <c r="D779">
        <v>2699</v>
      </c>
      <c r="E779" s="9">
        <v>5000</v>
      </c>
      <c r="F779">
        <v>46</v>
      </c>
      <c r="G779">
        <v>4</v>
      </c>
      <c r="H779" s="18">
        <v>26164</v>
      </c>
      <c r="I779" t="s">
        <v>2339</v>
      </c>
    </row>
    <row r="780" spans="1:9" x14ac:dyDescent="0.25">
      <c r="A780" t="s">
        <v>792</v>
      </c>
      <c r="B780" t="s">
        <v>1950</v>
      </c>
      <c r="C780" t="s">
        <v>413</v>
      </c>
      <c r="D780">
        <v>599</v>
      </c>
      <c r="E780" s="9">
        <v>990</v>
      </c>
      <c r="F780">
        <v>39</v>
      </c>
      <c r="G780">
        <v>3.9</v>
      </c>
      <c r="H780" s="18">
        <v>16166</v>
      </c>
      <c r="I780" t="s">
        <v>2336</v>
      </c>
    </row>
    <row r="781" spans="1:9" x14ac:dyDescent="0.25">
      <c r="A781" t="s">
        <v>793</v>
      </c>
      <c r="B781" t="s">
        <v>1951</v>
      </c>
      <c r="C781" t="s">
        <v>413</v>
      </c>
      <c r="D781">
        <v>749</v>
      </c>
      <c r="E781" s="9">
        <v>1111</v>
      </c>
      <c r="F781">
        <v>33</v>
      </c>
      <c r="G781">
        <v>4.2</v>
      </c>
      <c r="H781" s="18">
        <v>35693</v>
      </c>
      <c r="I781" t="s">
        <v>2336</v>
      </c>
    </row>
    <row r="782" spans="1:9" x14ac:dyDescent="0.25">
      <c r="A782" t="s">
        <v>794</v>
      </c>
      <c r="B782" t="s">
        <v>1952</v>
      </c>
      <c r="C782" t="s">
        <v>413</v>
      </c>
      <c r="D782">
        <v>6199</v>
      </c>
      <c r="E782" s="9">
        <v>10400</v>
      </c>
      <c r="F782">
        <v>40</v>
      </c>
      <c r="G782">
        <v>4.0999999999999996</v>
      </c>
      <c r="H782" s="18">
        <v>14391</v>
      </c>
      <c r="I782" t="s">
        <v>2339</v>
      </c>
    </row>
    <row r="783" spans="1:9" x14ac:dyDescent="0.25">
      <c r="A783" t="s">
        <v>795</v>
      </c>
      <c r="B783" t="s">
        <v>1953</v>
      </c>
      <c r="C783" t="s">
        <v>413</v>
      </c>
      <c r="D783">
        <v>1819</v>
      </c>
      <c r="E783" s="9">
        <v>2490</v>
      </c>
      <c r="F783">
        <v>27</v>
      </c>
      <c r="G783">
        <v>4.4000000000000004</v>
      </c>
      <c r="H783" s="18">
        <v>7946</v>
      </c>
      <c r="I783" t="s">
        <v>2339</v>
      </c>
    </row>
    <row r="784" spans="1:9" x14ac:dyDescent="0.25">
      <c r="A784" t="s">
        <v>796</v>
      </c>
      <c r="B784" t="s">
        <v>1954</v>
      </c>
      <c r="C784" t="s">
        <v>413</v>
      </c>
      <c r="D784">
        <v>1199</v>
      </c>
      <c r="E784" s="9">
        <v>1900</v>
      </c>
      <c r="F784">
        <v>37</v>
      </c>
      <c r="G784">
        <v>4</v>
      </c>
      <c r="H784" s="18">
        <v>1765</v>
      </c>
      <c r="I784" t="s">
        <v>2336</v>
      </c>
    </row>
    <row r="785" spans="1:9" x14ac:dyDescent="0.25">
      <c r="A785" t="s">
        <v>797</v>
      </c>
      <c r="B785" t="s">
        <v>1955</v>
      </c>
      <c r="C785" t="s">
        <v>413</v>
      </c>
      <c r="D785">
        <v>3249</v>
      </c>
      <c r="E785" s="9">
        <v>6295</v>
      </c>
      <c r="F785">
        <v>48</v>
      </c>
      <c r="G785">
        <v>3.8</v>
      </c>
      <c r="H785" s="18">
        <v>14062</v>
      </c>
      <c r="I785" t="s">
        <v>2339</v>
      </c>
    </row>
    <row r="786" spans="1:9" x14ac:dyDescent="0.25">
      <c r="A786" t="s">
        <v>798</v>
      </c>
      <c r="B786" t="s">
        <v>1956</v>
      </c>
      <c r="C786" t="s">
        <v>413</v>
      </c>
      <c r="D786">
        <v>349</v>
      </c>
      <c r="E786" s="9">
        <v>999</v>
      </c>
      <c r="F786">
        <v>65</v>
      </c>
      <c r="G786">
        <v>4</v>
      </c>
      <c r="H786" s="18">
        <v>15646</v>
      </c>
      <c r="I786" t="s">
        <v>2336</v>
      </c>
    </row>
    <row r="787" spans="1:9" x14ac:dyDescent="0.25">
      <c r="A787" t="s">
        <v>799</v>
      </c>
      <c r="B787" t="s">
        <v>1957</v>
      </c>
      <c r="C787" t="s">
        <v>413</v>
      </c>
      <c r="D787">
        <v>1049</v>
      </c>
      <c r="E787" s="9">
        <v>1699</v>
      </c>
      <c r="F787">
        <v>38</v>
      </c>
      <c r="G787">
        <v>3.1</v>
      </c>
      <c r="H787" s="18">
        <v>111</v>
      </c>
      <c r="I787" t="s">
        <v>2336</v>
      </c>
    </row>
    <row r="788" spans="1:9" x14ac:dyDescent="0.25">
      <c r="A788" t="s">
        <v>800</v>
      </c>
      <c r="B788" t="s">
        <v>1958</v>
      </c>
      <c r="C788" t="s">
        <v>413</v>
      </c>
      <c r="D788">
        <v>799</v>
      </c>
      <c r="E788" s="9">
        <v>1500</v>
      </c>
      <c r="F788">
        <v>47</v>
      </c>
      <c r="G788">
        <v>4.3</v>
      </c>
      <c r="H788" s="18">
        <v>9695</v>
      </c>
      <c r="I788" t="s">
        <v>2336</v>
      </c>
    </row>
    <row r="789" spans="1:9" x14ac:dyDescent="0.25">
      <c r="A789" t="s">
        <v>801</v>
      </c>
      <c r="B789" t="s">
        <v>1959</v>
      </c>
      <c r="C789" t="s">
        <v>413</v>
      </c>
      <c r="D789">
        <v>4999</v>
      </c>
      <c r="E789" s="9">
        <v>9650</v>
      </c>
      <c r="F789">
        <v>48</v>
      </c>
      <c r="G789">
        <v>4.2</v>
      </c>
      <c r="H789" s="18">
        <v>1772</v>
      </c>
      <c r="I789" t="s">
        <v>2339</v>
      </c>
    </row>
    <row r="790" spans="1:9" x14ac:dyDescent="0.25">
      <c r="A790" t="s">
        <v>802</v>
      </c>
      <c r="B790" t="s">
        <v>1960</v>
      </c>
      <c r="C790" t="s">
        <v>413</v>
      </c>
      <c r="D790">
        <v>6999</v>
      </c>
      <c r="E790" s="9">
        <v>10590</v>
      </c>
      <c r="F790">
        <v>34</v>
      </c>
      <c r="G790">
        <v>4.4000000000000004</v>
      </c>
      <c r="H790" s="18">
        <v>11499</v>
      </c>
      <c r="I790" t="s">
        <v>2339</v>
      </c>
    </row>
    <row r="791" spans="1:9" x14ac:dyDescent="0.25">
      <c r="A791" t="s">
        <v>803</v>
      </c>
      <c r="B791" t="s">
        <v>1961</v>
      </c>
      <c r="C791" t="s">
        <v>413</v>
      </c>
      <c r="D791">
        <v>799</v>
      </c>
      <c r="E791" s="9">
        <v>1999</v>
      </c>
      <c r="F791">
        <v>60</v>
      </c>
      <c r="G791">
        <v>4.0999999999999996</v>
      </c>
      <c r="H791" s="18">
        <v>2162</v>
      </c>
      <c r="I791" t="s">
        <v>2336</v>
      </c>
    </row>
    <row r="792" spans="1:9" x14ac:dyDescent="0.25">
      <c r="A792" t="s">
        <v>804</v>
      </c>
      <c r="B792" t="s">
        <v>1962</v>
      </c>
      <c r="C792" t="s">
        <v>413</v>
      </c>
      <c r="D792">
        <v>89</v>
      </c>
      <c r="E792" s="9">
        <v>89</v>
      </c>
      <c r="F792">
        <v>0</v>
      </c>
      <c r="G792">
        <v>4.2</v>
      </c>
      <c r="H792" s="18">
        <v>19621</v>
      </c>
      <c r="I792" t="s">
        <v>2340</v>
      </c>
    </row>
    <row r="793" spans="1:9" x14ac:dyDescent="0.25">
      <c r="A793" t="s">
        <v>805</v>
      </c>
      <c r="B793" t="s">
        <v>1963</v>
      </c>
      <c r="C793" t="s">
        <v>413</v>
      </c>
      <c r="D793">
        <v>1400</v>
      </c>
      <c r="E793" s="9">
        <v>2485</v>
      </c>
      <c r="F793">
        <v>44</v>
      </c>
      <c r="G793">
        <v>4.0999999999999996</v>
      </c>
      <c r="H793" s="18">
        <v>19998</v>
      </c>
      <c r="I793" t="s">
        <v>2339</v>
      </c>
    </row>
    <row r="794" spans="1:9" x14ac:dyDescent="0.25">
      <c r="A794" t="s">
        <v>806</v>
      </c>
      <c r="B794" t="s">
        <v>1964</v>
      </c>
      <c r="C794" t="s">
        <v>413</v>
      </c>
      <c r="D794">
        <v>355</v>
      </c>
      <c r="E794" s="9">
        <v>899</v>
      </c>
      <c r="F794">
        <v>61</v>
      </c>
      <c r="G794">
        <v>4.0999999999999996</v>
      </c>
      <c r="H794" s="18">
        <v>1051</v>
      </c>
      <c r="I794" t="s">
        <v>2336</v>
      </c>
    </row>
    <row r="795" spans="1:9" x14ac:dyDescent="0.25">
      <c r="A795" t="s">
        <v>807</v>
      </c>
      <c r="B795" t="s">
        <v>1965</v>
      </c>
      <c r="C795" t="s">
        <v>413</v>
      </c>
      <c r="D795">
        <v>2169</v>
      </c>
      <c r="E795" s="9">
        <v>3279</v>
      </c>
      <c r="F795">
        <v>34</v>
      </c>
      <c r="G795">
        <v>4.0999999999999996</v>
      </c>
      <c r="H795" s="18">
        <v>1716</v>
      </c>
      <c r="I795" t="s">
        <v>2339</v>
      </c>
    </row>
    <row r="796" spans="1:9" x14ac:dyDescent="0.25">
      <c r="A796" t="s">
        <v>808</v>
      </c>
      <c r="B796" t="s">
        <v>1966</v>
      </c>
      <c r="C796" t="s">
        <v>413</v>
      </c>
      <c r="D796">
        <v>2799</v>
      </c>
      <c r="E796" s="9">
        <v>3799</v>
      </c>
      <c r="F796">
        <v>26</v>
      </c>
      <c r="G796">
        <v>3.9</v>
      </c>
      <c r="H796" s="18">
        <v>32931</v>
      </c>
      <c r="I796" t="s">
        <v>2339</v>
      </c>
    </row>
    <row r="797" spans="1:9" x14ac:dyDescent="0.25">
      <c r="A797" t="s">
        <v>809</v>
      </c>
      <c r="B797" t="s">
        <v>1967</v>
      </c>
      <c r="C797" t="s">
        <v>413</v>
      </c>
      <c r="D797">
        <v>899</v>
      </c>
      <c r="E797" s="9">
        <v>1249</v>
      </c>
      <c r="F797">
        <v>28</v>
      </c>
      <c r="G797">
        <v>3.9</v>
      </c>
      <c r="H797" s="18">
        <v>17424</v>
      </c>
      <c r="I797" t="s">
        <v>2336</v>
      </c>
    </row>
    <row r="798" spans="1:9" x14ac:dyDescent="0.25">
      <c r="A798" t="s">
        <v>810</v>
      </c>
      <c r="B798" t="s">
        <v>1968</v>
      </c>
      <c r="C798" t="s">
        <v>413</v>
      </c>
      <c r="D798">
        <v>2499</v>
      </c>
      <c r="E798" s="9">
        <v>5000</v>
      </c>
      <c r="F798">
        <v>50</v>
      </c>
      <c r="G798">
        <v>3.8</v>
      </c>
      <c r="H798" s="18">
        <v>1889</v>
      </c>
      <c r="I798" t="s">
        <v>2339</v>
      </c>
    </row>
    <row r="799" spans="1:9" x14ac:dyDescent="0.25">
      <c r="A799" t="s">
        <v>811</v>
      </c>
      <c r="B799" t="s">
        <v>1969</v>
      </c>
      <c r="C799" t="s">
        <v>413</v>
      </c>
      <c r="D799">
        <v>3599</v>
      </c>
      <c r="E799" s="9">
        <v>7299</v>
      </c>
      <c r="F799">
        <v>51</v>
      </c>
      <c r="G799">
        <v>4</v>
      </c>
      <c r="H799" s="18">
        <v>10324</v>
      </c>
      <c r="I799" t="s">
        <v>2339</v>
      </c>
    </row>
    <row r="800" spans="1:9" x14ac:dyDescent="0.25">
      <c r="A800" t="s">
        <v>812</v>
      </c>
      <c r="B800" t="s">
        <v>1970</v>
      </c>
      <c r="C800" t="s">
        <v>413</v>
      </c>
      <c r="D800">
        <v>499</v>
      </c>
      <c r="E800" s="9">
        <v>625</v>
      </c>
      <c r="F800">
        <v>20</v>
      </c>
      <c r="G800">
        <v>4.2</v>
      </c>
      <c r="H800" s="18">
        <v>5355</v>
      </c>
      <c r="I800" t="s">
        <v>2336</v>
      </c>
    </row>
    <row r="801" spans="1:9" x14ac:dyDescent="0.25">
      <c r="A801" t="s">
        <v>813</v>
      </c>
      <c r="B801" t="s">
        <v>1971</v>
      </c>
      <c r="C801" t="s">
        <v>413</v>
      </c>
      <c r="D801">
        <v>653</v>
      </c>
      <c r="E801" s="9">
        <v>1020</v>
      </c>
      <c r="F801">
        <v>36</v>
      </c>
      <c r="G801">
        <v>4.0999999999999996</v>
      </c>
      <c r="H801" s="18">
        <v>3366</v>
      </c>
      <c r="I801" t="s">
        <v>2336</v>
      </c>
    </row>
    <row r="802" spans="1:9" x14ac:dyDescent="0.25">
      <c r="A802" t="s">
        <v>814</v>
      </c>
      <c r="B802" t="s">
        <v>1972</v>
      </c>
      <c r="C802" t="s">
        <v>413</v>
      </c>
      <c r="D802">
        <v>4789</v>
      </c>
      <c r="E802" s="9">
        <v>8990</v>
      </c>
      <c r="F802">
        <v>47</v>
      </c>
      <c r="G802">
        <v>4.3</v>
      </c>
      <c r="H802" s="18">
        <v>1017</v>
      </c>
      <c r="I802" t="s">
        <v>2339</v>
      </c>
    </row>
    <row r="803" spans="1:9" x14ac:dyDescent="0.25">
      <c r="A803" t="s">
        <v>815</v>
      </c>
      <c r="B803" t="s">
        <v>1973</v>
      </c>
      <c r="C803" t="s">
        <v>413</v>
      </c>
      <c r="D803">
        <v>1409</v>
      </c>
      <c r="E803" s="9">
        <v>1639</v>
      </c>
      <c r="F803">
        <v>14</v>
      </c>
      <c r="G803">
        <v>3.7</v>
      </c>
      <c r="H803" s="18">
        <v>787</v>
      </c>
      <c r="I803" t="s">
        <v>2336</v>
      </c>
    </row>
    <row r="804" spans="1:9" x14ac:dyDescent="0.25">
      <c r="A804" t="s">
        <v>816</v>
      </c>
      <c r="B804" t="s">
        <v>1974</v>
      </c>
      <c r="C804" t="s">
        <v>413</v>
      </c>
      <c r="D804">
        <v>753</v>
      </c>
      <c r="E804" s="9">
        <v>899</v>
      </c>
      <c r="F804">
        <v>16</v>
      </c>
      <c r="G804">
        <v>4.2</v>
      </c>
      <c r="H804" s="18">
        <v>18462</v>
      </c>
      <c r="I804" t="s">
        <v>2336</v>
      </c>
    </row>
    <row r="805" spans="1:9" x14ac:dyDescent="0.25">
      <c r="A805" t="s">
        <v>817</v>
      </c>
      <c r="B805" t="s">
        <v>1975</v>
      </c>
      <c r="C805" t="s">
        <v>413</v>
      </c>
      <c r="D805">
        <v>353</v>
      </c>
      <c r="E805" s="9">
        <v>1199</v>
      </c>
      <c r="F805">
        <v>71</v>
      </c>
      <c r="G805">
        <v>4.3</v>
      </c>
      <c r="H805" s="18">
        <v>629</v>
      </c>
      <c r="I805" t="s">
        <v>2336</v>
      </c>
    </row>
    <row r="806" spans="1:9" x14ac:dyDescent="0.25">
      <c r="A806" t="s">
        <v>818</v>
      </c>
      <c r="B806" t="s">
        <v>1976</v>
      </c>
      <c r="C806" t="s">
        <v>413</v>
      </c>
      <c r="D806">
        <v>1099</v>
      </c>
      <c r="E806" s="9">
        <v>1899</v>
      </c>
      <c r="F806">
        <v>42</v>
      </c>
      <c r="G806">
        <v>4.3</v>
      </c>
      <c r="H806" s="18">
        <v>15276</v>
      </c>
      <c r="I806" t="s">
        <v>2336</v>
      </c>
    </row>
    <row r="807" spans="1:9" x14ac:dyDescent="0.25">
      <c r="A807" t="s">
        <v>819</v>
      </c>
      <c r="B807" t="s">
        <v>1977</v>
      </c>
      <c r="C807" t="s">
        <v>413</v>
      </c>
      <c r="D807">
        <v>8799</v>
      </c>
      <c r="E807" s="9">
        <v>11595</v>
      </c>
      <c r="F807">
        <v>24</v>
      </c>
      <c r="G807">
        <v>4.4000000000000004</v>
      </c>
      <c r="H807" s="18">
        <v>2981</v>
      </c>
      <c r="I807" t="s">
        <v>2339</v>
      </c>
    </row>
    <row r="808" spans="1:9" x14ac:dyDescent="0.25">
      <c r="A808" t="s">
        <v>820</v>
      </c>
      <c r="B808" t="s">
        <v>1978</v>
      </c>
      <c r="C808" t="s">
        <v>413</v>
      </c>
      <c r="D808">
        <v>1345</v>
      </c>
      <c r="E808" s="9">
        <v>1750</v>
      </c>
      <c r="F808">
        <v>23</v>
      </c>
      <c r="G808">
        <v>3.8</v>
      </c>
      <c r="H808" s="18">
        <v>2466</v>
      </c>
      <c r="I808" t="s">
        <v>2336</v>
      </c>
    </row>
    <row r="809" spans="1:9" x14ac:dyDescent="0.25">
      <c r="A809" t="s">
        <v>821</v>
      </c>
      <c r="B809" t="s">
        <v>1979</v>
      </c>
      <c r="C809" t="s">
        <v>413</v>
      </c>
      <c r="D809">
        <v>2095</v>
      </c>
      <c r="E809" s="9">
        <v>2095</v>
      </c>
      <c r="F809">
        <v>0</v>
      </c>
      <c r="G809">
        <v>4.5</v>
      </c>
      <c r="H809" s="18">
        <v>7949</v>
      </c>
      <c r="I809" t="s">
        <v>2339</v>
      </c>
    </row>
    <row r="810" spans="1:9" x14ac:dyDescent="0.25">
      <c r="A810" t="s">
        <v>822</v>
      </c>
      <c r="B810" t="s">
        <v>1980</v>
      </c>
      <c r="C810" t="s">
        <v>413</v>
      </c>
      <c r="D810">
        <v>1498</v>
      </c>
      <c r="E810" s="9">
        <v>2300</v>
      </c>
      <c r="F810">
        <v>35</v>
      </c>
      <c r="G810">
        <v>3.8</v>
      </c>
      <c r="H810" s="18">
        <v>95</v>
      </c>
      <c r="I810" t="s">
        <v>2339</v>
      </c>
    </row>
    <row r="811" spans="1:9" x14ac:dyDescent="0.25">
      <c r="A811" t="s">
        <v>823</v>
      </c>
      <c r="B811" t="s">
        <v>1981</v>
      </c>
      <c r="C811" t="s">
        <v>413</v>
      </c>
      <c r="D811">
        <v>2199</v>
      </c>
      <c r="E811" s="9">
        <v>2990</v>
      </c>
      <c r="F811">
        <v>26</v>
      </c>
      <c r="G811">
        <v>3.8</v>
      </c>
      <c r="H811" s="18">
        <v>1558</v>
      </c>
      <c r="I811" t="s">
        <v>2339</v>
      </c>
    </row>
    <row r="812" spans="1:9" x14ac:dyDescent="0.25">
      <c r="A812" t="s">
        <v>824</v>
      </c>
      <c r="B812" t="s">
        <v>1982</v>
      </c>
      <c r="C812" t="s">
        <v>413</v>
      </c>
      <c r="D812">
        <v>3699</v>
      </c>
      <c r="E812" s="9">
        <v>4295</v>
      </c>
      <c r="F812">
        <v>14</v>
      </c>
      <c r="G812">
        <v>4.0999999999999996</v>
      </c>
      <c r="H812" s="18">
        <v>26543</v>
      </c>
      <c r="I812" t="s">
        <v>2339</v>
      </c>
    </row>
    <row r="813" spans="1:9" x14ac:dyDescent="0.25">
      <c r="A813" t="s">
        <v>825</v>
      </c>
      <c r="B813" t="s">
        <v>1983</v>
      </c>
      <c r="C813" t="s">
        <v>413</v>
      </c>
      <c r="D813">
        <v>177</v>
      </c>
      <c r="E813" s="9">
        <v>199</v>
      </c>
      <c r="F813">
        <v>11</v>
      </c>
      <c r="G813">
        <v>4.0999999999999996</v>
      </c>
      <c r="H813" s="18">
        <v>3688</v>
      </c>
      <c r="I813" t="s">
        <v>2340</v>
      </c>
    </row>
    <row r="814" spans="1:9" x14ac:dyDescent="0.25">
      <c r="A814" t="s">
        <v>826</v>
      </c>
      <c r="B814" t="s">
        <v>1984</v>
      </c>
      <c r="C814" t="s">
        <v>413</v>
      </c>
      <c r="D814">
        <v>1149</v>
      </c>
      <c r="E814" s="9">
        <v>2499</v>
      </c>
      <c r="F814">
        <v>54</v>
      </c>
      <c r="G814">
        <v>3.8</v>
      </c>
      <c r="H814" s="18">
        <v>4383</v>
      </c>
      <c r="I814" t="s">
        <v>2339</v>
      </c>
    </row>
    <row r="815" spans="1:9" x14ac:dyDescent="0.25">
      <c r="A815" t="s">
        <v>827</v>
      </c>
      <c r="B815" t="s">
        <v>828</v>
      </c>
      <c r="C815" t="s">
        <v>413</v>
      </c>
      <c r="D815">
        <v>244</v>
      </c>
      <c r="E815" s="9">
        <v>499</v>
      </c>
      <c r="F815">
        <v>51</v>
      </c>
      <c r="G815">
        <v>3.3</v>
      </c>
      <c r="H815" s="18">
        <v>478</v>
      </c>
      <c r="I815" t="s">
        <v>2340</v>
      </c>
    </row>
    <row r="816" spans="1:9" x14ac:dyDescent="0.25">
      <c r="A816" t="s">
        <v>829</v>
      </c>
      <c r="B816" t="s">
        <v>1985</v>
      </c>
      <c r="C816" t="s">
        <v>413</v>
      </c>
      <c r="D816">
        <v>1959</v>
      </c>
      <c r="E816" s="9">
        <v>2400</v>
      </c>
      <c r="F816">
        <v>18</v>
      </c>
      <c r="G816">
        <v>4</v>
      </c>
      <c r="H816" s="18">
        <v>237</v>
      </c>
      <c r="I816" t="s">
        <v>2339</v>
      </c>
    </row>
    <row r="817" spans="1:9" x14ac:dyDescent="0.25">
      <c r="A817" t="s">
        <v>830</v>
      </c>
      <c r="B817" t="s">
        <v>1986</v>
      </c>
      <c r="C817" t="s">
        <v>413</v>
      </c>
      <c r="D817">
        <v>319</v>
      </c>
      <c r="E817" s="9">
        <v>749</v>
      </c>
      <c r="F817">
        <v>57</v>
      </c>
      <c r="G817">
        <v>4.5999999999999996</v>
      </c>
      <c r="H817" s="18">
        <v>124</v>
      </c>
      <c r="I817" t="s">
        <v>2336</v>
      </c>
    </row>
    <row r="818" spans="1:9" x14ac:dyDescent="0.25">
      <c r="A818" t="s">
        <v>831</v>
      </c>
      <c r="B818" t="s">
        <v>1987</v>
      </c>
      <c r="C818" t="s">
        <v>413</v>
      </c>
      <c r="D818">
        <v>1499</v>
      </c>
      <c r="E818" s="9">
        <v>1775</v>
      </c>
      <c r="F818">
        <v>16</v>
      </c>
      <c r="G818">
        <v>3.9</v>
      </c>
      <c r="H818" s="18">
        <v>14667</v>
      </c>
      <c r="I818" t="s">
        <v>2336</v>
      </c>
    </row>
    <row r="819" spans="1:9" x14ac:dyDescent="0.25">
      <c r="A819" t="s">
        <v>832</v>
      </c>
      <c r="B819" t="s">
        <v>1988</v>
      </c>
      <c r="C819" t="s">
        <v>413</v>
      </c>
      <c r="D819">
        <v>469</v>
      </c>
      <c r="E819" s="9">
        <v>1599</v>
      </c>
      <c r="F819">
        <v>71</v>
      </c>
      <c r="G819">
        <v>3.7</v>
      </c>
      <c r="H819" s="18">
        <v>6</v>
      </c>
      <c r="I819" t="s">
        <v>2336</v>
      </c>
    </row>
    <row r="820" spans="1:9" x14ac:dyDescent="0.25">
      <c r="A820" t="s">
        <v>833</v>
      </c>
      <c r="B820" t="s">
        <v>1989</v>
      </c>
      <c r="C820" t="s">
        <v>413</v>
      </c>
      <c r="D820">
        <v>1099</v>
      </c>
      <c r="E820" s="9">
        <v>1795</v>
      </c>
      <c r="F820">
        <v>39</v>
      </c>
      <c r="G820">
        <v>4.2</v>
      </c>
      <c r="H820" s="18">
        <v>4244</v>
      </c>
      <c r="I820" t="s">
        <v>2336</v>
      </c>
    </row>
    <row r="821" spans="1:9" x14ac:dyDescent="0.25">
      <c r="A821" t="s">
        <v>834</v>
      </c>
      <c r="B821" t="s">
        <v>1990</v>
      </c>
      <c r="C821" t="s">
        <v>413</v>
      </c>
      <c r="D821">
        <v>9590</v>
      </c>
      <c r="E821" s="9">
        <v>15999</v>
      </c>
      <c r="F821">
        <v>40</v>
      </c>
      <c r="G821">
        <v>4.0999999999999996</v>
      </c>
      <c r="H821" s="18">
        <v>1017</v>
      </c>
      <c r="I821" t="s">
        <v>2339</v>
      </c>
    </row>
    <row r="822" spans="1:9" x14ac:dyDescent="0.25">
      <c r="A822" t="s">
        <v>835</v>
      </c>
      <c r="B822" t="s">
        <v>1991</v>
      </c>
      <c r="C822" t="s">
        <v>413</v>
      </c>
      <c r="D822">
        <v>999</v>
      </c>
      <c r="E822" s="9">
        <v>1490</v>
      </c>
      <c r="F822">
        <v>33</v>
      </c>
      <c r="G822">
        <v>4.0999999999999996</v>
      </c>
      <c r="H822" s="18">
        <v>12999</v>
      </c>
      <c r="I822" t="s">
        <v>2336</v>
      </c>
    </row>
    <row r="823" spans="1:9" x14ac:dyDescent="0.25">
      <c r="A823" t="s">
        <v>836</v>
      </c>
      <c r="B823" t="s">
        <v>1992</v>
      </c>
      <c r="C823" t="s">
        <v>413</v>
      </c>
      <c r="D823">
        <v>1299</v>
      </c>
      <c r="E823" s="9">
        <v>1999</v>
      </c>
      <c r="F823">
        <v>35</v>
      </c>
      <c r="G823">
        <v>3.8</v>
      </c>
      <c r="H823" s="18">
        <v>311</v>
      </c>
      <c r="I823" t="s">
        <v>2336</v>
      </c>
    </row>
    <row r="824" spans="1:9" x14ac:dyDescent="0.25">
      <c r="A824" t="s">
        <v>837</v>
      </c>
      <c r="B824" t="s">
        <v>1993</v>
      </c>
      <c r="C824" t="s">
        <v>413</v>
      </c>
      <c r="D824">
        <v>292</v>
      </c>
      <c r="E824" s="9">
        <v>499</v>
      </c>
      <c r="F824">
        <v>41</v>
      </c>
      <c r="G824">
        <v>4.0999999999999996</v>
      </c>
      <c r="H824" s="18">
        <v>4238</v>
      </c>
      <c r="I824" t="s">
        <v>2340</v>
      </c>
    </row>
    <row r="825" spans="1:9" x14ac:dyDescent="0.25">
      <c r="A825" t="s">
        <v>838</v>
      </c>
      <c r="B825" t="s">
        <v>1994</v>
      </c>
      <c r="C825" t="s">
        <v>413</v>
      </c>
      <c r="D825">
        <v>160</v>
      </c>
      <c r="E825" s="9">
        <v>299</v>
      </c>
      <c r="F825">
        <v>46</v>
      </c>
      <c r="G825">
        <v>4.5999999999999996</v>
      </c>
      <c r="H825" s="18">
        <v>2781</v>
      </c>
      <c r="I825" t="s">
        <v>2340</v>
      </c>
    </row>
    <row r="826" spans="1:9" x14ac:dyDescent="0.25">
      <c r="A826" t="s">
        <v>839</v>
      </c>
      <c r="B826" t="s">
        <v>1995</v>
      </c>
      <c r="C826" t="s">
        <v>413</v>
      </c>
      <c r="D826">
        <v>3249</v>
      </c>
      <c r="E826" s="9">
        <v>6295</v>
      </c>
      <c r="F826">
        <v>48</v>
      </c>
      <c r="G826">
        <v>3.9</v>
      </c>
      <c r="H826" s="18">
        <v>43070</v>
      </c>
      <c r="I826" t="s">
        <v>2339</v>
      </c>
    </row>
    <row r="827" spans="1:9" x14ac:dyDescent="0.25">
      <c r="A827" t="s">
        <v>840</v>
      </c>
      <c r="B827" t="s">
        <v>1996</v>
      </c>
      <c r="C827" t="s">
        <v>413</v>
      </c>
      <c r="D827">
        <v>3599</v>
      </c>
      <c r="E827" s="9">
        <v>9455</v>
      </c>
      <c r="F827">
        <v>62</v>
      </c>
      <c r="G827">
        <v>4.0999999999999996</v>
      </c>
      <c r="H827" s="18">
        <v>11828</v>
      </c>
      <c r="I827" t="s">
        <v>2339</v>
      </c>
    </row>
    <row r="828" spans="1:9" x14ac:dyDescent="0.25">
      <c r="A828" t="s">
        <v>841</v>
      </c>
      <c r="B828" t="s">
        <v>842</v>
      </c>
      <c r="C828" t="s">
        <v>413</v>
      </c>
      <c r="D828">
        <v>368</v>
      </c>
      <c r="E828" s="9">
        <v>699</v>
      </c>
      <c r="F828">
        <v>47</v>
      </c>
      <c r="G828">
        <v>4.0999999999999996</v>
      </c>
      <c r="H828" s="18">
        <v>1240</v>
      </c>
      <c r="I828" t="s">
        <v>2336</v>
      </c>
    </row>
    <row r="829" spans="1:9" x14ac:dyDescent="0.25">
      <c r="A829" t="s">
        <v>843</v>
      </c>
      <c r="B829" t="s">
        <v>1997</v>
      </c>
      <c r="C829" t="s">
        <v>413</v>
      </c>
      <c r="D829">
        <v>3199</v>
      </c>
      <c r="E829" s="9">
        <v>4999</v>
      </c>
      <c r="F829">
        <v>36</v>
      </c>
      <c r="G829">
        <v>4</v>
      </c>
      <c r="H829" s="18">
        <v>20869</v>
      </c>
      <c r="I829" t="s">
        <v>2339</v>
      </c>
    </row>
    <row r="830" spans="1:9" x14ac:dyDescent="0.25">
      <c r="A830" t="s">
        <v>844</v>
      </c>
      <c r="B830" t="s">
        <v>1998</v>
      </c>
      <c r="C830" t="s">
        <v>413</v>
      </c>
      <c r="D830">
        <v>1599</v>
      </c>
      <c r="E830" s="9">
        <v>2900</v>
      </c>
      <c r="F830">
        <v>45</v>
      </c>
      <c r="G830">
        <v>3.7</v>
      </c>
      <c r="H830" s="18">
        <v>441</v>
      </c>
      <c r="I830" t="s">
        <v>2339</v>
      </c>
    </row>
    <row r="831" spans="1:9" x14ac:dyDescent="0.25">
      <c r="A831" t="s">
        <v>845</v>
      </c>
      <c r="B831" t="s">
        <v>1999</v>
      </c>
      <c r="C831" t="s">
        <v>413</v>
      </c>
      <c r="D831">
        <v>1999</v>
      </c>
      <c r="E831" s="9">
        <v>2499</v>
      </c>
      <c r="F831">
        <v>20</v>
      </c>
      <c r="G831">
        <v>4.0999999999999996</v>
      </c>
      <c r="H831" s="18">
        <v>1034</v>
      </c>
      <c r="I831" t="s">
        <v>2339</v>
      </c>
    </row>
    <row r="832" spans="1:9" x14ac:dyDescent="0.25">
      <c r="A832" t="s">
        <v>846</v>
      </c>
      <c r="B832" t="s">
        <v>2000</v>
      </c>
      <c r="C832" t="s">
        <v>413</v>
      </c>
      <c r="D832">
        <v>616</v>
      </c>
      <c r="E832" s="9">
        <v>1190</v>
      </c>
      <c r="F832">
        <v>48</v>
      </c>
      <c r="G832">
        <v>4.0999999999999996</v>
      </c>
      <c r="H832" s="18">
        <v>37126</v>
      </c>
      <c r="I832" t="s">
        <v>2336</v>
      </c>
    </row>
    <row r="833" spans="1:9" x14ac:dyDescent="0.25">
      <c r="A833" t="s">
        <v>847</v>
      </c>
      <c r="B833" t="s">
        <v>2001</v>
      </c>
      <c r="C833" t="s">
        <v>413</v>
      </c>
      <c r="D833">
        <v>1499</v>
      </c>
      <c r="E833" s="9">
        <v>2100</v>
      </c>
      <c r="F833">
        <v>29</v>
      </c>
      <c r="G833">
        <v>4.0999999999999996</v>
      </c>
      <c r="H833" s="18">
        <v>6355</v>
      </c>
      <c r="I833" t="s">
        <v>2339</v>
      </c>
    </row>
    <row r="834" spans="1:9" x14ac:dyDescent="0.25">
      <c r="A834" t="s">
        <v>848</v>
      </c>
      <c r="B834" t="s">
        <v>2002</v>
      </c>
      <c r="C834" t="s">
        <v>413</v>
      </c>
      <c r="D834">
        <v>199</v>
      </c>
      <c r="E834" s="9">
        <v>499</v>
      </c>
      <c r="F834">
        <v>60</v>
      </c>
      <c r="G834">
        <v>3.3</v>
      </c>
      <c r="H834" s="18">
        <v>12</v>
      </c>
      <c r="I834" t="s">
        <v>2340</v>
      </c>
    </row>
    <row r="835" spans="1:9" x14ac:dyDescent="0.25">
      <c r="A835" t="s">
        <v>849</v>
      </c>
      <c r="B835" t="s">
        <v>2003</v>
      </c>
      <c r="C835" t="s">
        <v>413</v>
      </c>
      <c r="D835">
        <v>610</v>
      </c>
      <c r="E835" s="9">
        <v>825</v>
      </c>
      <c r="F835">
        <v>26</v>
      </c>
      <c r="G835">
        <v>4.0999999999999996</v>
      </c>
      <c r="H835" s="18">
        <v>13165</v>
      </c>
      <c r="I835" t="s">
        <v>2336</v>
      </c>
    </row>
    <row r="836" spans="1:9" x14ac:dyDescent="0.25">
      <c r="A836" t="s">
        <v>850</v>
      </c>
      <c r="B836" t="s">
        <v>2004</v>
      </c>
      <c r="C836" t="s">
        <v>413</v>
      </c>
      <c r="D836">
        <v>999</v>
      </c>
      <c r="E836" s="9">
        <v>1499</v>
      </c>
      <c r="F836">
        <v>33</v>
      </c>
      <c r="G836">
        <v>4.0999999999999996</v>
      </c>
      <c r="H836" s="18">
        <v>1646</v>
      </c>
      <c r="I836" t="s">
        <v>2336</v>
      </c>
    </row>
    <row r="837" spans="1:9" x14ac:dyDescent="0.25">
      <c r="A837" t="s">
        <v>851</v>
      </c>
      <c r="B837" t="s">
        <v>2005</v>
      </c>
      <c r="C837" t="s">
        <v>413</v>
      </c>
      <c r="D837">
        <v>8999</v>
      </c>
      <c r="E837" s="9">
        <v>9995</v>
      </c>
      <c r="F837">
        <v>10</v>
      </c>
      <c r="G837">
        <v>4.4000000000000004</v>
      </c>
      <c r="H837" s="18">
        <v>17994</v>
      </c>
      <c r="I837" t="s">
        <v>2339</v>
      </c>
    </row>
    <row r="838" spans="1:9" x14ac:dyDescent="0.25">
      <c r="A838" t="s">
        <v>852</v>
      </c>
      <c r="B838" t="s">
        <v>2006</v>
      </c>
      <c r="C838" t="s">
        <v>413</v>
      </c>
      <c r="D838">
        <v>453</v>
      </c>
      <c r="E838" s="9">
        <v>999</v>
      </c>
      <c r="F838">
        <v>55</v>
      </c>
      <c r="G838">
        <v>4.3</v>
      </c>
      <c r="H838" s="18">
        <v>610</v>
      </c>
      <c r="I838" t="s">
        <v>2336</v>
      </c>
    </row>
    <row r="839" spans="1:9" x14ac:dyDescent="0.25">
      <c r="A839" t="s">
        <v>853</v>
      </c>
      <c r="B839" t="s">
        <v>2007</v>
      </c>
      <c r="C839" t="s">
        <v>413</v>
      </c>
      <c r="D839">
        <v>2464</v>
      </c>
      <c r="E839" s="9">
        <v>6000</v>
      </c>
      <c r="F839">
        <v>59</v>
      </c>
      <c r="G839">
        <v>4.0999999999999996</v>
      </c>
      <c r="H839" s="18">
        <v>8866</v>
      </c>
      <c r="I839" t="s">
        <v>2339</v>
      </c>
    </row>
    <row r="840" spans="1:9" x14ac:dyDescent="0.25">
      <c r="A840" t="s">
        <v>854</v>
      </c>
      <c r="B840" t="s">
        <v>2008</v>
      </c>
      <c r="C840" t="s">
        <v>413</v>
      </c>
      <c r="D840">
        <v>2719</v>
      </c>
      <c r="E840" s="9">
        <v>3945</v>
      </c>
      <c r="F840">
        <v>31</v>
      </c>
      <c r="G840">
        <v>3.7</v>
      </c>
      <c r="H840" s="18">
        <v>13406</v>
      </c>
      <c r="I840" t="s">
        <v>2339</v>
      </c>
    </row>
    <row r="841" spans="1:9" x14ac:dyDescent="0.25">
      <c r="A841" t="s">
        <v>855</v>
      </c>
      <c r="B841" t="s">
        <v>2009</v>
      </c>
      <c r="C841" t="s">
        <v>413</v>
      </c>
      <c r="D841">
        <v>1439</v>
      </c>
      <c r="E841" s="9">
        <v>1999</v>
      </c>
      <c r="F841">
        <v>28</v>
      </c>
      <c r="G841">
        <v>4.8</v>
      </c>
      <c r="H841" s="18">
        <v>53803</v>
      </c>
      <c r="I841" t="s">
        <v>2336</v>
      </c>
    </row>
    <row r="842" spans="1:9" x14ac:dyDescent="0.25">
      <c r="A842" t="s">
        <v>856</v>
      </c>
      <c r="B842" t="s">
        <v>2010</v>
      </c>
      <c r="C842" t="s">
        <v>413</v>
      </c>
      <c r="D842">
        <v>2088</v>
      </c>
      <c r="E842" s="9">
        <v>5550</v>
      </c>
      <c r="F842">
        <v>62</v>
      </c>
      <c r="G842">
        <v>4</v>
      </c>
      <c r="H842" s="18">
        <v>5292</v>
      </c>
      <c r="I842" t="s">
        <v>2339</v>
      </c>
    </row>
    <row r="843" spans="1:9" x14ac:dyDescent="0.25">
      <c r="A843" t="s">
        <v>857</v>
      </c>
      <c r="B843" t="s">
        <v>2011</v>
      </c>
      <c r="C843" t="s">
        <v>413</v>
      </c>
      <c r="D843">
        <v>2399</v>
      </c>
      <c r="E843" s="9">
        <v>4590</v>
      </c>
      <c r="F843">
        <v>48</v>
      </c>
      <c r="G843">
        <v>4.0999999999999996</v>
      </c>
      <c r="H843" s="18">
        <v>444</v>
      </c>
      <c r="I843" t="s">
        <v>2339</v>
      </c>
    </row>
    <row r="844" spans="1:9" x14ac:dyDescent="0.25">
      <c r="A844" t="s">
        <v>858</v>
      </c>
      <c r="B844" t="s">
        <v>2012</v>
      </c>
      <c r="C844" t="s">
        <v>413</v>
      </c>
      <c r="D844">
        <v>308</v>
      </c>
      <c r="E844" s="9">
        <v>499</v>
      </c>
      <c r="F844">
        <v>38</v>
      </c>
      <c r="G844">
        <v>3.9</v>
      </c>
      <c r="H844" s="18">
        <v>4584</v>
      </c>
      <c r="I844" t="s">
        <v>2340</v>
      </c>
    </row>
    <row r="845" spans="1:9" x14ac:dyDescent="0.25">
      <c r="A845" t="s">
        <v>859</v>
      </c>
      <c r="B845" t="s">
        <v>2013</v>
      </c>
      <c r="C845" t="s">
        <v>413</v>
      </c>
      <c r="D845">
        <v>2599</v>
      </c>
      <c r="E845" s="9">
        <v>4400</v>
      </c>
      <c r="F845">
        <v>41</v>
      </c>
      <c r="G845">
        <v>4.0999999999999996</v>
      </c>
      <c r="H845" s="18">
        <v>14947</v>
      </c>
      <c r="I845" t="s">
        <v>2339</v>
      </c>
    </row>
    <row r="846" spans="1:9" x14ac:dyDescent="0.25">
      <c r="A846" t="s">
        <v>860</v>
      </c>
      <c r="B846" t="s">
        <v>2014</v>
      </c>
      <c r="C846" t="s">
        <v>413</v>
      </c>
      <c r="D846">
        <v>479</v>
      </c>
      <c r="E846" s="9">
        <v>1000</v>
      </c>
      <c r="F846">
        <v>52</v>
      </c>
      <c r="G846">
        <v>4.2</v>
      </c>
      <c r="H846" s="18">
        <v>1559</v>
      </c>
      <c r="I846" t="s">
        <v>2336</v>
      </c>
    </row>
    <row r="847" spans="1:9" x14ac:dyDescent="0.25">
      <c r="A847" t="s">
        <v>861</v>
      </c>
      <c r="B847" t="s">
        <v>2015</v>
      </c>
      <c r="C847" t="s">
        <v>413</v>
      </c>
      <c r="D847">
        <v>245</v>
      </c>
      <c r="E847" s="9">
        <v>299</v>
      </c>
      <c r="F847">
        <v>18</v>
      </c>
      <c r="G847">
        <v>4.0999999999999996</v>
      </c>
      <c r="H847" s="18">
        <v>1660</v>
      </c>
      <c r="I847" t="s">
        <v>2340</v>
      </c>
    </row>
    <row r="848" spans="1:9" x14ac:dyDescent="0.25">
      <c r="A848" t="s">
        <v>862</v>
      </c>
      <c r="B848" t="s">
        <v>2016</v>
      </c>
      <c r="C848" t="s">
        <v>413</v>
      </c>
      <c r="D848">
        <v>179</v>
      </c>
      <c r="E848" s="9">
        <v>799</v>
      </c>
      <c r="F848">
        <v>78</v>
      </c>
      <c r="G848">
        <v>3.5</v>
      </c>
      <c r="H848" s="18">
        <v>132</v>
      </c>
      <c r="I848" t="s">
        <v>2336</v>
      </c>
    </row>
    <row r="849" spans="1:9" x14ac:dyDescent="0.25">
      <c r="A849" t="s">
        <v>863</v>
      </c>
      <c r="B849" t="s">
        <v>2017</v>
      </c>
      <c r="C849" t="s">
        <v>413</v>
      </c>
      <c r="D849">
        <v>3569</v>
      </c>
      <c r="E849" s="9">
        <v>5190</v>
      </c>
      <c r="F849">
        <v>31</v>
      </c>
      <c r="G849">
        <v>4.3</v>
      </c>
      <c r="H849" s="18">
        <v>28629</v>
      </c>
      <c r="I849" t="s">
        <v>2339</v>
      </c>
    </row>
    <row r="850" spans="1:9" x14ac:dyDescent="0.25">
      <c r="A850" t="s">
        <v>864</v>
      </c>
      <c r="B850" t="s">
        <v>2018</v>
      </c>
      <c r="C850" t="s">
        <v>413</v>
      </c>
      <c r="D850">
        <v>699</v>
      </c>
      <c r="E850" s="9">
        <v>1345</v>
      </c>
      <c r="F850">
        <v>48</v>
      </c>
      <c r="G850">
        <v>3.9</v>
      </c>
      <c r="H850" s="18">
        <v>8446</v>
      </c>
      <c r="I850" t="s">
        <v>2336</v>
      </c>
    </row>
    <row r="851" spans="1:9" x14ac:dyDescent="0.25">
      <c r="A851" t="s">
        <v>865</v>
      </c>
      <c r="B851" t="s">
        <v>2019</v>
      </c>
      <c r="C851" t="s">
        <v>413</v>
      </c>
      <c r="D851">
        <v>2089</v>
      </c>
      <c r="E851" s="9">
        <v>4000</v>
      </c>
      <c r="F851">
        <v>48</v>
      </c>
      <c r="G851">
        <v>4.2</v>
      </c>
      <c r="H851" s="18">
        <v>11199</v>
      </c>
      <c r="I851" t="s">
        <v>2339</v>
      </c>
    </row>
    <row r="852" spans="1:9" x14ac:dyDescent="0.25">
      <c r="A852" t="s">
        <v>866</v>
      </c>
      <c r="B852" t="s">
        <v>2020</v>
      </c>
      <c r="C852" t="s">
        <v>867</v>
      </c>
      <c r="D852">
        <v>2339</v>
      </c>
      <c r="E852" s="9">
        <v>4000</v>
      </c>
      <c r="F852">
        <v>42</v>
      </c>
      <c r="G852">
        <v>3.8</v>
      </c>
      <c r="H852" s="18">
        <v>1118</v>
      </c>
      <c r="I852" t="s">
        <v>2339</v>
      </c>
    </row>
    <row r="853" spans="1:9" x14ac:dyDescent="0.25">
      <c r="A853" t="s">
        <v>868</v>
      </c>
      <c r="B853" t="s">
        <v>2021</v>
      </c>
      <c r="C853" t="s">
        <v>413</v>
      </c>
      <c r="D853">
        <v>784</v>
      </c>
      <c r="E853" s="9">
        <v>1599</v>
      </c>
      <c r="F853">
        <v>51</v>
      </c>
      <c r="G853">
        <v>4.5</v>
      </c>
      <c r="H853" s="18">
        <v>11</v>
      </c>
      <c r="I853" t="s">
        <v>2336</v>
      </c>
    </row>
    <row r="854" spans="1:9" x14ac:dyDescent="0.25">
      <c r="A854" t="s">
        <v>869</v>
      </c>
      <c r="B854" t="s">
        <v>2022</v>
      </c>
      <c r="C854" t="s">
        <v>413</v>
      </c>
      <c r="D854">
        <v>5499</v>
      </c>
      <c r="E854" s="9">
        <v>9999</v>
      </c>
      <c r="F854">
        <v>45</v>
      </c>
      <c r="G854">
        <v>3.8</v>
      </c>
      <c r="H854" s="18">
        <v>4353</v>
      </c>
      <c r="I854" t="s">
        <v>2339</v>
      </c>
    </row>
    <row r="855" spans="1:9" x14ac:dyDescent="0.25">
      <c r="A855" t="s">
        <v>870</v>
      </c>
      <c r="B855" t="s">
        <v>2023</v>
      </c>
      <c r="C855" t="s">
        <v>413</v>
      </c>
      <c r="D855">
        <v>899</v>
      </c>
      <c r="E855" s="9">
        <v>1990</v>
      </c>
      <c r="F855">
        <v>55</v>
      </c>
      <c r="G855">
        <v>4.0999999999999996</v>
      </c>
      <c r="H855" s="18">
        <v>185</v>
      </c>
      <c r="I855" t="s">
        <v>2336</v>
      </c>
    </row>
    <row r="856" spans="1:9" x14ac:dyDescent="0.25">
      <c r="A856" t="s">
        <v>871</v>
      </c>
      <c r="B856" t="s">
        <v>2024</v>
      </c>
      <c r="C856" t="s">
        <v>413</v>
      </c>
      <c r="D856">
        <v>1695</v>
      </c>
      <c r="E856" s="9">
        <v>1695</v>
      </c>
      <c r="F856">
        <v>0</v>
      </c>
      <c r="G856">
        <v>4.2</v>
      </c>
      <c r="H856" s="18">
        <v>14290</v>
      </c>
      <c r="I856" t="s">
        <v>2336</v>
      </c>
    </row>
    <row r="857" spans="1:9" x14ac:dyDescent="0.25">
      <c r="A857" t="s">
        <v>872</v>
      </c>
      <c r="B857" t="s">
        <v>2025</v>
      </c>
      <c r="C857" t="s">
        <v>413</v>
      </c>
      <c r="D857">
        <v>2699</v>
      </c>
      <c r="E857" s="9">
        <v>4700</v>
      </c>
      <c r="F857">
        <v>43</v>
      </c>
      <c r="G857">
        <v>4.2</v>
      </c>
      <c r="H857" s="18">
        <v>1296</v>
      </c>
      <c r="I857" t="s">
        <v>2339</v>
      </c>
    </row>
    <row r="858" spans="1:9" x14ac:dyDescent="0.25">
      <c r="A858" t="s">
        <v>873</v>
      </c>
      <c r="B858" t="s">
        <v>2026</v>
      </c>
      <c r="C858" t="s">
        <v>413</v>
      </c>
      <c r="D858">
        <v>1448</v>
      </c>
      <c r="E858" s="9">
        <v>2999</v>
      </c>
      <c r="F858">
        <v>52</v>
      </c>
      <c r="G858">
        <v>4.5</v>
      </c>
      <c r="H858" s="18">
        <v>19</v>
      </c>
      <c r="I858" t="s">
        <v>2339</v>
      </c>
    </row>
    <row r="859" spans="1:9" x14ac:dyDescent="0.25">
      <c r="A859" t="s">
        <v>874</v>
      </c>
      <c r="B859" t="s">
        <v>2027</v>
      </c>
      <c r="C859" t="s">
        <v>413</v>
      </c>
      <c r="D859">
        <v>79</v>
      </c>
      <c r="E859" s="9">
        <v>79</v>
      </c>
      <c r="F859">
        <v>0</v>
      </c>
      <c r="G859">
        <v>4</v>
      </c>
      <c r="H859" s="18">
        <v>97</v>
      </c>
      <c r="I859" t="s">
        <v>2340</v>
      </c>
    </row>
    <row r="860" spans="1:9" x14ac:dyDescent="0.25">
      <c r="A860" t="s">
        <v>875</v>
      </c>
      <c r="B860" t="s">
        <v>2028</v>
      </c>
      <c r="C860" t="s">
        <v>413</v>
      </c>
      <c r="D860">
        <v>6990</v>
      </c>
      <c r="E860" s="9">
        <v>14290</v>
      </c>
      <c r="F860">
        <v>51</v>
      </c>
      <c r="G860">
        <v>4.4000000000000004</v>
      </c>
      <c r="H860" s="18">
        <v>1771</v>
      </c>
      <c r="I860" t="s">
        <v>2339</v>
      </c>
    </row>
    <row r="861" spans="1:9" x14ac:dyDescent="0.25">
      <c r="A861" t="s">
        <v>876</v>
      </c>
      <c r="B861" t="s">
        <v>2029</v>
      </c>
      <c r="C861" t="s">
        <v>413</v>
      </c>
      <c r="D861">
        <v>2698</v>
      </c>
      <c r="E861" s="9">
        <v>3945</v>
      </c>
      <c r="F861">
        <v>32</v>
      </c>
      <c r="G861">
        <v>4</v>
      </c>
      <c r="H861" s="18">
        <v>15034</v>
      </c>
      <c r="I861" t="s">
        <v>2339</v>
      </c>
    </row>
    <row r="862" spans="1:9" x14ac:dyDescent="0.25">
      <c r="A862" t="s">
        <v>877</v>
      </c>
      <c r="B862" t="s">
        <v>2030</v>
      </c>
      <c r="C862" t="s">
        <v>413</v>
      </c>
      <c r="D862">
        <v>3199</v>
      </c>
      <c r="E862" s="9">
        <v>5999</v>
      </c>
      <c r="F862">
        <v>47</v>
      </c>
      <c r="G862">
        <v>4</v>
      </c>
      <c r="H862" s="18">
        <v>3242</v>
      </c>
      <c r="I862" t="s">
        <v>2339</v>
      </c>
    </row>
    <row r="863" spans="1:9" x14ac:dyDescent="0.25">
      <c r="A863" t="s">
        <v>878</v>
      </c>
      <c r="B863" t="s">
        <v>2031</v>
      </c>
      <c r="C863" t="s">
        <v>413</v>
      </c>
      <c r="D863">
        <v>1199</v>
      </c>
      <c r="E863" s="9">
        <v>1950</v>
      </c>
      <c r="F863">
        <v>39</v>
      </c>
      <c r="G863">
        <v>3.9</v>
      </c>
      <c r="H863" s="18">
        <v>2832</v>
      </c>
      <c r="I863" t="s">
        <v>2336</v>
      </c>
    </row>
    <row r="864" spans="1:9" x14ac:dyDescent="0.25">
      <c r="A864" t="s">
        <v>879</v>
      </c>
      <c r="B864" t="s">
        <v>2032</v>
      </c>
      <c r="C864" t="s">
        <v>413</v>
      </c>
      <c r="D864">
        <v>1414</v>
      </c>
      <c r="E864" s="9">
        <v>2799</v>
      </c>
      <c r="F864">
        <v>49</v>
      </c>
      <c r="G864">
        <v>4</v>
      </c>
      <c r="H864" s="18">
        <v>1498</v>
      </c>
      <c r="I864" t="s">
        <v>2339</v>
      </c>
    </row>
    <row r="865" spans="1:9" x14ac:dyDescent="0.25">
      <c r="A865" t="s">
        <v>880</v>
      </c>
      <c r="B865" t="s">
        <v>2033</v>
      </c>
      <c r="C865" t="s">
        <v>413</v>
      </c>
      <c r="D865">
        <v>999</v>
      </c>
      <c r="E865" s="9">
        <v>1950</v>
      </c>
      <c r="F865">
        <v>49</v>
      </c>
      <c r="G865">
        <v>3.8</v>
      </c>
      <c r="H865" s="18">
        <v>305</v>
      </c>
      <c r="I865" t="s">
        <v>2336</v>
      </c>
    </row>
    <row r="866" spans="1:9" x14ac:dyDescent="0.25">
      <c r="A866" t="s">
        <v>881</v>
      </c>
      <c r="B866" t="s">
        <v>2034</v>
      </c>
      <c r="C866" t="s">
        <v>413</v>
      </c>
      <c r="D866">
        <v>5999</v>
      </c>
      <c r="E866" s="9">
        <v>9999</v>
      </c>
      <c r="F866">
        <v>40</v>
      </c>
      <c r="G866">
        <v>4.2</v>
      </c>
      <c r="H866" s="18">
        <v>1191</v>
      </c>
      <c r="I866" t="s">
        <v>2339</v>
      </c>
    </row>
    <row r="867" spans="1:9" x14ac:dyDescent="0.25">
      <c r="A867" t="s">
        <v>882</v>
      </c>
      <c r="B867" t="s">
        <v>2035</v>
      </c>
      <c r="C867" t="s">
        <v>413</v>
      </c>
      <c r="D867">
        <v>9970</v>
      </c>
      <c r="E867" s="9">
        <v>12999</v>
      </c>
      <c r="F867">
        <v>23</v>
      </c>
      <c r="G867">
        <v>4.3</v>
      </c>
      <c r="H867" s="18">
        <v>4049</v>
      </c>
      <c r="I867" t="s">
        <v>2339</v>
      </c>
    </row>
    <row r="868" spans="1:9" x14ac:dyDescent="0.25">
      <c r="A868" t="s">
        <v>883</v>
      </c>
      <c r="B868" t="s">
        <v>2036</v>
      </c>
      <c r="C868" t="s">
        <v>413</v>
      </c>
      <c r="D868">
        <v>698</v>
      </c>
      <c r="E868" s="9">
        <v>699</v>
      </c>
      <c r="F868">
        <v>0</v>
      </c>
      <c r="G868">
        <v>4.2</v>
      </c>
      <c r="H868" s="18">
        <v>3160</v>
      </c>
      <c r="I868" t="s">
        <v>2336</v>
      </c>
    </row>
    <row r="869" spans="1:9" x14ac:dyDescent="0.25">
      <c r="A869" t="s">
        <v>884</v>
      </c>
      <c r="B869" t="s">
        <v>2037</v>
      </c>
      <c r="C869" t="s">
        <v>413</v>
      </c>
      <c r="D869">
        <v>320</v>
      </c>
      <c r="E869" s="9">
        <v>799</v>
      </c>
      <c r="F869">
        <v>60</v>
      </c>
      <c r="G869">
        <v>4.2</v>
      </c>
      <c r="H869" s="18">
        <v>3846</v>
      </c>
      <c r="I869" t="s">
        <v>2336</v>
      </c>
    </row>
    <row r="870" spans="1:9" x14ac:dyDescent="0.25">
      <c r="A870" t="s">
        <v>885</v>
      </c>
      <c r="B870" t="s">
        <v>2038</v>
      </c>
      <c r="C870" t="s">
        <v>413</v>
      </c>
      <c r="D870">
        <v>298</v>
      </c>
      <c r="E870" s="9">
        <v>499</v>
      </c>
      <c r="F870">
        <v>40</v>
      </c>
      <c r="G870">
        <v>4.4000000000000004</v>
      </c>
      <c r="H870" s="18">
        <v>290</v>
      </c>
      <c r="I870" t="s">
        <v>2340</v>
      </c>
    </row>
    <row r="871" spans="1:9" x14ac:dyDescent="0.25">
      <c r="A871" t="s">
        <v>886</v>
      </c>
      <c r="B871" t="s">
        <v>2039</v>
      </c>
      <c r="C871" t="s">
        <v>413</v>
      </c>
      <c r="D871">
        <v>1199</v>
      </c>
      <c r="E871" s="9">
        <v>1499</v>
      </c>
      <c r="F871">
        <v>20</v>
      </c>
      <c r="G871">
        <v>3.8</v>
      </c>
      <c r="H871" s="18">
        <v>2206</v>
      </c>
      <c r="I871" t="s">
        <v>2336</v>
      </c>
    </row>
    <row r="872" spans="1:9" x14ac:dyDescent="0.25">
      <c r="A872" t="s">
        <v>887</v>
      </c>
      <c r="B872" t="s">
        <v>2040</v>
      </c>
      <c r="C872" t="s">
        <v>413</v>
      </c>
      <c r="D872">
        <v>1399</v>
      </c>
      <c r="E872" s="9">
        <v>2660</v>
      </c>
      <c r="F872">
        <v>47</v>
      </c>
      <c r="G872">
        <v>4.0999999999999996</v>
      </c>
      <c r="H872" s="18">
        <v>9349</v>
      </c>
      <c r="I872" t="s">
        <v>2339</v>
      </c>
    </row>
    <row r="873" spans="1:9" x14ac:dyDescent="0.25">
      <c r="A873" t="s">
        <v>888</v>
      </c>
      <c r="B873" t="s">
        <v>2041</v>
      </c>
      <c r="C873" t="s">
        <v>413</v>
      </c>
      <c r="D873">
        <v>599</v>
      </c>
      <c r="E873" s="9">
        <v>2799</v>
      </c>
      <c r="F873">
        <v>79</v>
      </c>
      <c r="G873">
        <v>3.9</v>
      </c>
      <c r="H873" s="18">
        <v>578</v>
      </c>
      <c r="I873" t="s">
        <v>2339</v>
      </c>
    </row>
    <row r="874" spans="1:9" x14ac:dyDescent="0.25">
      <c r="A874" t="s">
        <v>889</v>
      </c>
      <c r="B874" t="s">
        <v>2042</v>
      </c>
      <c r="C874" t="s">
        <v>413</v>
      </c>
      <c r="D874">
        <v>1499</v>
      </c>
      <c r="E874" s="9">
        <v>1499</v>
      </c>
      <c r="F874">
        <v>0</v>
      </c>
      <c r="G874">
        <v>4.3</v>
      </c>
      <c r="H874" s="18">
        <v>9331</v>
      </c>
      <c r="I874" t="s">
        <v>2336</v>
      </c>
    </row>
    <row r="875" spans="1:9" x14ac:dyDescent="0.25">
      <c r="A875" t="s">
        <v>890</v>
      </c>
      <c r="B875" t="s">
        <v>2043</v>
      </c>
      <c r="C875" t="s">
        <v>413</v>
      </c>
      <c r="D875">
        <v>14400</v>
      </c>
      <c r="E875" s="9">
        <v>59900</v>
      </c>
      <c r="F875">
        <v>76</v>
      </c>
      <c r="G875">
        <v>4.4000000000000004</v>
      </c>
      <c r="H875" s="18">
        <v>3837</v>
      </c>
      <c r="I875" t="s">
        <v>2339</v>
      </c>
    </row>
    <row r="876" spans="1:9" x14ac:dyDescent="0.25">
      <c r="A876" t="s">
        <v>891</v>
      </c>
      <c r="B876" t="s">
        <v>2044</v>
      </c>
      <c r="C876" t="s">
        <v>413</v>
      </c>
      <c r="D876">
        <v>1699</v>
      </c>
      <c r="E876" s="9">
        <v>1900</v>
      </c>
      <c r="F876">
        <v>11</v>
      </c>
      <c r="G876">
        <v>3.6</v>
      </c>
      <c r="H876" s="18">
        <v>11456</v>
      </c>
      <c r="I876" t="s">
        <v>2336</v>
      </c>
    </row>
    <row r="877" spans="1:9" x14ac:dyDescent="0.25">
      <c r="A877" t="s">
        <v>892</v>
      </c>
      <c r="B877" t="s">
        <v>2045</v>
      </c>
      <c r="C877" t="s">
        <v>413</v>
      </c>
      <c r="D877">
        <v>649</v>
      </c>
      <c r="E877" s="9">
        <v>999</v>
      </c>
      <c r="F877">
        <v>35</v>
      </c>
      <c r="G877">
        <v>3.8</v>
      </c>
      <c r="H877" s="18">
        <v>49</v>
      </c>
      <c r="I877" t="s">
        <v>2336</v>
      </c>
    </row>
    <row r="878" spans="1:9" x14ac:dyDescent="0.25">
      <c r="A878" t="s">
        <v>893</v>
      </c>
      <c r="B878" t="s">
        <v>2046</v>
      </c>
      <c r="C878" t="s">
        <v>413</v>
      </c>
      <c r="D878">
        <v>3249</v>
      </c>
      <c r="E878" s="9">
        <v>6375</v>
      </c>
      <c r="F878">
        <v>49</v>
      </c>
      <c r="G878">
        <v>4</v>
      </c>
      <c r="H878" s="18">
        <v>4978</v>
      </c>
      <c r="I878" t="s">
        <v>2339</v>
      </c>
    </row>
    <row r="879" spans="1:9" x14ac:dyDescent="0.25">
      <c r="A879" t="s">
        <v>894</v>
      </c>
      <c r="B879" t="s">
        <v>2047</v>
      </c>
      <c r="C879" t="s">
        <v>413</v>
      </c>
      <c r="D879">
        <v>199</v>
      </c>
      <c r="E879" s="9">
        <v>499</v>
      </c>
      <c r="F879">
        <v>60</v>
      </c>
      <c r="G879">
        <v>4.0999999999999996</v>
      </c>
      <c r="H879" s="18">
        <v>1996</v>
      </c>
      <c r="I879" t="s">
        <v>2340</v>
      </c>
    </row>
    <row r="880" spans="1:9" x14ac:dyDescent="0.25">
      <c r="A880" t="s">
        <v>895</v>
      </c>
      <c r="B880" t="s">
        <v>2048</v>
      </c>
      <c r="C880" t="s">
        <v>413</v>
      </c>
      <c r="D880">
        <v>1099</v>
      </c>
      <c r="E880" s="9">
        <v>1899</v>
      </c>
      <c r="F880">
        <v>42</v>
      </c>
      <c r="G880">
        <v>4.3</v>
      </c>
      <c r="H880" s="18">
        <v>1811</v>
      </c>
      <c r="I880" t="s">
        <v>2336</v>
      </c>
    </row>
    <row r="881" spans="1:9" x14ac:dyDescent="0.25">
      <c r="A881" t="s">
        <v>896</v>
      </c>
      <c r="B881" t="s">
        <v>2049</v>
      </c>
      <c r="C881" t="s">
        <v>413</v>
      </c>
      <c r="D881">
        <v>664</v>
      </c>
      <c r="E881" s="9">
        <v>1490</v>
      </c>
      <c r="F881">
        <v>55</v>
      </c>
      <c r="G881">
        <v>4</v>
      </c>
      <c r="H881" s="18">
        <v>2198</v>
      </c>
      <c r="I881" t="s">
        <v>2336</v>
      </c>
    </row>
    <row r="882" spans="1:9" x14ac:dyDescent="0.25">
      <c r="A882" t="s">
        <v>897</v>
      </c>
      <c r="B882" t="s">
        <v>2050</v>
      </c>
      <c r="C882" t="s">
        <v>413</v>
      </c>
      <c r="D882">
        <v>260</v>
      </c>
      <c r="E882" s="9">
        <v>350</v>
      </c>
      <c r="F882">
        <v>26</v>
      </c>
      <c r="G882">
        <v>3.9</v>
      </c>
      <c r="H882" s="18">
        <v>13127</v>
      </c>
      <c r="I882" t="s">
        <v>2340</v>
      </c>
    </row>
    <row r="883" spans="1:9" x14ac:dyDescent="0.25">
      <c r="A883" t="s">
        <v>898</v>
      </c>
      <c r="B883" t="s">
        <v>2051</v>
      </c>
      <c r="C883" t="s">
        <v>413</v>
      </c>
      <c r="D883">
        <v>6499</v>
      </c>
      <c r="E883" s="9">
        <v>8500</v>
      </c>
      <c r="F883">
        <v>24</v>
      </c>
      <c r="G883">
        <v>4.4000000000000004</v>
      </c>
      <c r="H883" s="18">
        <v>5865</v>
      </c>
      <c r="I883" t="s">
        <v>2339</v>
      </c>
    </row>
    <row r="884" spans="1:9" x14ac:dyDescent="0.25">
      <c r="A884" t="s">
        <v>899</v>
      </c>
      <c r="B884" t="s">
        <v>2052</v>
      </c>
      <c r="C884" t="s">
        <v>413</v>
      </c>
      <c r="D884">
        <v>1484</v>
      </c>
      <c r="E884" s="9">
        <v>2499</v>
      </c>
      <c r="F884">
        <v>41</v>
      </c>
      <c r="G884">
        <v>3.7</v>
      </c>
      <c r="H884" s="18">
        <v>1067</v>
      </c>
      <c r="I884" t="s">
        <v>2339</v>
      </c>
    </row>
    <row r="885" spans="1:9" x14ac:dyDescent="0.25">
      <c r="A885" t="s">
        <v>900</v>
      </c>
      <c r="B885" t="s">
        <v>2053</v>
      </c>
      <c r="C885" t="s">
        <v>413</v>
      </c>
      <c r="D885">
        <v>999</v>
      </c>
      <c r="E885" s="9">
        <v>1560</v>
      </c>
      <c r="F885">
        <v>36</v>
      </c>
      <c r="G885">
        <v>3.6</v>
      </c>
      <c r="H885" s="18">
        <v>4881</v>
      </c>
      <c r="I885" t="s">
        <v>2336</v>
      </c>
    </row>
    <row r="886" spans="1:9" x14ac:dyDescent="0.25">
      <c r="A886" t="s">
        <v>901</v>
      </c>
      <c r="B886" t="s">
        <v>2054</v>
      </c>
      <c r="C886" t="s">
        <v>413</v>
      </c>
      <c r="D886">
        <v>3299</v>
      </c>
      <c r="E886" s="9">
        <v>6500</v>
      </c>
      <c r="F886">
        <v>49</v>
      </c>
      <c r="G886">
        <v>3.7</v>
      </c>
      <c r="H886" s="18">
        <v>11217</v>
      </c>
      <c r="I886" t="s">
        <v>2339</v>
      </c>
    </row>
    <row r="887" spans="1:9" x14ac:dyDescent="0.25">
      <c r="A887" t="s">
        <v>902</v>
      </c>
      <c r="B887" t="s">
        <v>2055</v>
      </c>
      <c r="C887" t="s">
        <v>413</v>
      </c>
      <c r="D887">
        <v>259</v>
      </c>
      <c r="E887" s="9">
        <v>999</v>
      </c>
      <c r="F887">
        <v>74</v>
      </c>
      <c r="G887">
        <v>4</v>
      </c>
      <c r="H887" s="18">
        <v>43</v>
      </c>
      <c r="I887" t="s">
        <v>2336</v>
      </c>
    </row>
    <row r="888" spans="1:9" x14ac:dyDescent="0.25">
      <c r="A888" t="s">
        <v>903</v>
      </c>
      <c r="B888" t="s">
        <v>2056</v>
      </c>
      <c r="C888" t="s">
        <v>413</v>
      </c>
      <c r="D888">
        <v>3249</v>
      </c>
      <c r="E888" s="9">
        <v>7795</v>
      </c>
      <c r="F888">
        <v>58</v>
      </c>
      <c r="G888">
        <v>4.2</v>
      </c>
      <c r="H888" s="18">
        <v>4664</v>
      </c>
      <c r="I888" t="s">
        <v>2339</v>
      </c>
    </row>
    <row r="889" spans="1:9" x14ac:dyDescent="0.25">
      <c r="A889" t="s">
        <v>904</v>
      </c>
      <c r="B889" t="s">
        <v>2057</v>
      </c>
      <c r="C889" t="s">
        <v>413</v>
      </c>
      <c r="D889">
        <v>4280</v>
      </c>
      <c r="E889" s="9">
        <v>5995</v>
      </c>
      <c r="F889">
        <v>29</v>
      </c>
      <c r="G889">
        <v>3.8</v>
      </c>
      <c r="H889" s="18">
        <v>2112</v>
      </c>
      <c r="I889" t="s">
        <v>2339</v>
      </c>
    </row>
    <row r="890" spans="1:9" x14ac:dyDescent="0.25">
      <c r="A890" t="s">
        <v>905</v>
      </c>
      <c r="B890" t="s">
        <v>2058</v>
      </c>
      <c r="C890" t="s">
        <v>413</v>
      </c>
      <c r="D890">
        <v>189</v>
      </c>
      <c r="E890" s="9">
        <v>299</v>
      </c>
      <c r="F890">
        <v>37</v>
      </c>
      <c r="G890">
        <v>4.2</v>
      </c>
      <c r="H890" s="18">
        <v>2737</v>
      </c>
      <c r="I890" t="s">
        <v>2340</v>
      </c>
    </row>
    <row r="891" spans="1:9" x14ac:dyDescent="0.25">
      <c r="A891" t="s">
        <v>906</v>
      </c>
      <c r="B891" t="s">
        <v>2059</v>
      </c>
      <c r="C891" t="s">
        <v>413</v>
      </c>
      <c r="D891">
        <v>1449</v>
      </c>
      <c r="E891" s="9">
        <v>2349</v>
      </c>
      <c r="F891">
        <v>38</v>
      </c>
      <c r="G891">
        <v>3.9</v>
      </c>
      <c r="H891" s="18">
        <v>9019</v>
      </c>
      <c r="I891" t="s">
        <v>2339</v>
      </c>
    </row>
    <row r="892" spans="1:9" x14ac:dyDescent="0.25">
      <c r="A892" t="s">
        <v>907</v>
      </c>
      <c r="B892" t="s">
        <v>2060</v>
      </c>
      <c r="C892" t="s">
        <v>413</v>
      </c>
      <c r="D892">
        <v>199</v>
      </c>
      <c r="E892" s="9">
        <v>499</v>
      </c>
      <c r="F892">
        <v>60</v>
      </c>
      <c r="G892">
        <v>4</v>
      </c>
      <c r="H892" s="18">
        <v>10234</v>
      </c>
      <c r="I892" t="s">
        <v>2340</v>
      </c>
    </row>
    <row r="893" spans="1:9" x14ac:dyDescent="0.25">
      <c r="A893" t="s">
        <v>908</v>
      </c>
      <c r="B893" t="s">
        <v>2061</v>
      </c>
      <c r="C893" t="s">
        <v>413</v>
      </c>
      <c r="D893">
        <v>474</v>
      </c>
      <c r="E893" s="9">
        <v>1299</v>
      </c>
      <c r="F893">
        <v>64</v>
      </c>
      <c r="G893">
        <v>4.0999999999999996</v>
      </c>
      <c r="H893" s="18">
        <v>550</v>
      </c>
      <c r="I893" t="s">
        <v>2336</v>
      </c>
    </row>
    <row r="894" spans="1:9" x14ac:dyDescent="0.25">
      <c r="A894" t="s">
        <v>909</v>
      </c>
      <c r="B894" t="s">
        <v>2062</v>
      </c>
      <c r="C894" t="s">
        <v>413</v>
      </c>
      <c r="D894">
        <v>279</v>
      </c>
      <c r="E894" s="9">
        <v>499</v>
      </c>
      <c r="F894">
        <v>44</v>
      </c>
      <c r="G894">
        <v>4.8</v>
      </c>
      <c r="H894" s="18">
        <v>28</v>
      </c>
      <c r="I894" t="s">
        <v>2340</v>
      </c>
    </row>
    <row r="895" spans="1:9" x14ac:dyDescent="0.25">
      <c r="A895" t="s">
        <v>910</v>
      </c>
      <c r="B895" t="s">
        <v>2063</v>
      </c>
      <c r="C895" t="s">
        <v>413</v>
      </c>
      <c r="D895">
        <v>1999</v>
      </c>
      <c r="E895" s="9">
        <v>4775</v>
      </c>
      <c r="F895">
        <v>58</v>
      </c>
      <c r="G895">
        <v>4.2</v>
      </c>
      <c r="H895" s="18">
        <v>1353</v>
      </c>
      <c r="I895" t="s">
        <v>2339</v>
      </c>
    </row>
    <row r="896" spans="1:9" x14ac:dyDescent="0.25">
      <c r="A896" t="s">
        <v>911</v>
      </c>
      <c r="B896" t="s">
        <v>2064</v>
      </c>
      <c r="C896" t="s">
        <v>413</v>
      </c>
      <c r="D896">
        <v>799</v>
      </c>
      <c r="E896" s="9">
        <v>1230</v>
      </c>
      <c r="F896">
        <v>35</v>
      </c>
      <c r="G896">
        <v>4.0999999999999996</v>
      </c>
      <c r="H896" s="18">
        <v>2138</v>
      </c>
      <c r="I896" t="s">
        <v>2336</v>
      </c>
    </row>
    <row r="897" spans="1:9" x14ac:dyDescent="0.25">
      <c r="A897" t="s">
        <v>912</v>
      </c>
      <c r="B897" t="s">
        <v>2065</v>
      </c>
      <c r="C897" t="s">
        <v>413</v>
      </c>
      <c r="D897">
        <v>949</v>
      </c>
      <c r="E897" s="9">
        <v>1999</v>
      </c>
      <c r="F897">
        <v>53</v>
      </c>
      <c r="G897">
        <v>4</v>
      </c>
      <c r="H897" s="18">
        <v>1679</v>
      </c>
      <c r="I897" t="s">
        <v>2336</v>
      </c>
    </row>
    <row r="898" spans="1:9" x14ac:dyDescent="0.25">
      <c r="A898" t="s">
        <v>913</v>
      </c>
      <c r="B898" t="s">
        <v>2066</v>
      </c>
      <c r="C898" t="s">
        <v>413</v>
      </c>
      <c r="D898">
        <v>365766</v>
      </c>
      <c r="E898" s="9">
        <v>5156</v>
      </c>
      <c r="F898">
        <v>29</v>
      </c>
      <c r="G898">
        <v>3.9</v>
      </c>
      <c r="H898" s="18">
        <v>12837</v>
      </c>
      <c r="I898" t="s">
        <v>2339</v>
      </c>
    </row>
    <row r="899" spans="1:9" x14ac:dyDescent="0.25">
      <c r="A899" t="s">
        <v>914</v>
      </c>
      <c r="B899" t="s">
        <v>2067</v>
      </c>
      <c r="C899" t="s">
        <v>413</v>
      </c>
      <c r="D899">
        <v>1699</v>
      </c>
      <c r="E899" s="9">
        <v>1999</v>
      </c>
      <c r="F899">
        <v>15</v>
      </c>
      <c r="G899">
        <v>4.0999999999999996</v>
      </c>
      <c r="H899" s="18">
        <v>8873</v>
      </c>
      <c r="I899" t="s">
        <v>2336</v>
      </c>
    </row>
    <row r="900" spans="1:9" x14ac:dyDescent="0.25">
      <c r="A900" t="s">
        <v>915</v>
      </c>
      <c r="B900" t="s">
        <v>2068</v>
      </c>
      <c r="C900" t="s">
        <v>413</v>
      </c>
      <c r="D900">
        <v>1849</v>
      </c>
      <c r="E900" s="9">
        <v>2095</v>
      </c>
      <c r="F900">
        <v>12</v>
      </c>
      <c r="G900">
        <v>4.3</v>
      </c>
      <c r="H900" s="18">
        <v>7681</v>
      </c>
      <c r="I900" t="s">
        <v>2339</v>
      </c>
    </row>
    <row r="901" spans="1:9" x14ac:dyDescent="0.25">
      <c r="A901" t="s">
        <v>916</v>
      </c>
      <c r="B901" t="s">
        <v>2069</v>
      </c>
      <c r="C901" t="s">
        <v>413</v>
      </c>
      <c r="D901">
        <v>12499</v>
      </c>
      <c r="E901" s="9">
        <v>19825</v>
      </c>
      <c r="F901">
        <v>37</v>
      </c>
      <c r="G901">
        <v>4.0999999999999996</v>
      </c>
      <c r="H901" s="18">
        <v>322</v>
      </c>
      <c r="I901" t="s">
        <v>2339</v>
      </c>
    </row>
    <row r="902" spans="1:9" x14ac:dyDescent="0.25">
      <c r="A902" t="s">
        <v>917</v>
      </c>
      <c r="B902" t="s">
        <v>2070</v>
      </c>
      <c r="C902" t="s">
        <v>413</v>
      </c>
      <c r="D902">
        <v>1099</v>
      </c>
      <c r="E902" s="9">
        <v>1920</v>
      </c>
      <c r="F902">
        <v>43</v>
      </c>
      <c r="G902">
        <v>4.2</v>
      </c>
      <c r="H902" s="18">
        <v>9772</v>
      </c>
      <c r="I902" t="s">
        <v>2336</v>
      </c>
    </row>
    <row r="903" spans="1:9" x14ac:dyDescent="0.25">
      <c r="A903" t="s">
        <v>918</v>
      </c>
      <c r="B903" t="s">
        <v>2071</v>
      </c>
      <c r="C903" t="s">
        <v>413</v>
      </c>
      <c r="D903">
        <v>8199</v>
      </c>
      <c r="E903" s="9">
        <v>16000</v>
      </c>
      <c r="F903">
        <v>49</v>
      </c>
      <c r="G903">
        <v>3.9</v>
      </c>
      <c r="H903" s="18">
        <v>18497</v>
      </c>
      <c r="I903" t="s">
        <v>2339</v>
      </c>
    </row>
    <row r="904" spans="1:9" x14ac:dyDescent="0.25">
      <c r="A904" t="s">
        <v>919</v>
      </c>
      <c r="B904" t="s">
        <v>2072</v>
      </c>
      <c r="C904" t="s">
        <v>413</v>
      </c>
      <c r="D904">
        <v>499</v>
      </c>
      <c r="E904" s="9">
        <v>2199</v>
      </c>
      <c r="F904">
        <v>77</v>
      </c>
      <c r="G904">
        <v>3.7</v>
      </c>
      <c r="H904" s="18">
        <v>53</v>
      </c>
      <c r="I904" t="s">
        <v>2339</v>
      </c>
    </row>
    <row r="905" spans="1:9" x14ac:dyDescent="0.25">
      <c r="A905" t="s">
        <v>920</v>
      </c>
      <c r="B905" t="s">
        <v>2073</v>
      </c>
      <c r="C905" t="s">
        <v>413</v>
      </c>
      <c r="D905">
        <v>6999</v>
      </c>
      <c r="E905" s="9">
        <v>14999</v>
      </c>
      <c r="F905">
        <v>53</v>
      </c>
      <c r="G905">
        <v>4.0999999999999996</v>
      </c>
      <c r="H905" s="18">
        <v>1728</v>
      </c>
      <c r="I905" t="s">
        <v>2339</v>
      </c>
    </row>
    <row r="906" spans="1:9" x14ac:dyDescent="0.25">
      <c r="A906" t="s">
        <v>921</v>
      </c>
      <c r="B906" t="s">
        <v>2074</v>
      </c>
      <c r="C906" t="s">
        <v>413</v>
      </c>
      <c r="D906">
        <v>1595</v>
      </c>
      <c r="E906" s="9">
        <v>1799</v>
      </c>
      <c r="F906">
        <v>11</v>
      </c>
      <c r="G906">
        <v>4</v>
      </c>
      <c r="H906" s="18">
        <v>2877</v>
      </c>
      <c r="I906" t="s">
        <v>2336</v>
      </c>
    </row>
    <row r="907" spans="1:9" x14ac:dyDescent="0.25">
      <c r="A907" t="s">
        <v>922</v>
      </c>
      <c r="B907" t="s">
        <v>2075</v>
      </c>
      <c r="C907" t="s">
        <v>413</v>
      </c>
      <c r="D907">
        <v>1049</v>
      </c>
      <c r="E907" s="9">
        <v>1950</v>
      </c>
      <c r="F907">
        <v>46</v>
      </c>
      <c r="G907">
        <v>3.8</v>
      </c>
      <c r="H907" s="18">
        <v>250</v>
      </c>
      <c r="I907" t="s">
        <v>2336</v>
      </c>
    </row>
    <row r="908" spans="1:9" x14ac:dyDescent="0.25">
      <c r="A908" t="s">
        <v>923</v>
      </c>
      <c r="B908" t="s">
        <v>2076</v>
      </c>
      <c r="C908" t="s">
        <v>413</v>
      </c>
      <c r="D908">
        <v>1182</v>
      </c>
      <c r="E908" s="9">
        <v>2995</v>
      </c>
      <c r="F908">
        <v>61</v>
      </c>
      <c r="G908">
        <v>4.2</v>
      </c>
      <c r="H908" s="18">
        <v>5178</v>
      </c>
      <c r="I908" t="s">
        <v>2339</v>
      </c>
    </row>
    <row r="909" spans="1:9" x14ac:dyDescent="0.25">
      <c r="A909" t="s">
        <v>924</v>
      </c>
      <c r="B909" t="s">
        <v>2077</v>
      </c>
      <c r="C909" t="s">
        <v>413</v>
      </c>
      <c r="D909">
        <v>499</v>
      </c>
      <c r="E909" s="9">
        <v>999</v>
      </c>
      <c r="F909">
        <v>50</v>
      </c>
      <c r="G909">
        <v>4.5999999999999996</v>
      </c>
      <c r="H909" s="18">
        <v>79</v>
      </c>
      <c r="I909" t="s">
        <v>2336</v>
      </c>
    </row>
    <row r="910" spans="1:9" x14ac:dyDescent="0.25">
      <c r="A910" t="s">
        <v>925</v>
      </c>
      <c r="B910" t="s">
        <v>2078</v>
      </c>
      <c r="C910" t="s">
        <v>413</v>
      </c>
      <c r="D910">
        <v>8799</v>
      </c>
      <c r="E910" s="9">
        <v>11995</v>
      </c>
      <c r="F910">
        <v>27</v>
      </c>
      <c r="G910">
        <v>4.0999999999999996</v>
      </c>
      <c r="H910" s="18">
        <v>4157</v>
      </c>
      <c r="I910" t="s">
        <v>2339</v>
      </c>
    </row>
    <row r="911" spans="1:9" x14ac:dyDescent="0.25">
      <c r="A911" t="s">
        <v>926</v>
      </c>
      <c r="B911" t="s">
        <v>2079</v>
      </c>
      <c r="C911" t="s">
        <v>413</v>
      </c>
      <c r="D911">
        <v>1529</v>
      </c>
      <c r="E911" s="9">
        <v>2999</v>
      </c>
      <c r="F911">
        <v>49</v>
      </c>
      <c r="G911">
        <v>3.3</v>
      </c>
      <c r="H911" s="18">
        <v>29</v>
      </c>
      <c r="I911" t="s">
        <v>2339</v>
      </c>
    </row>
    <row r="912" spans="1:9" x14ac:dyDescent="0.25">
      <c r="A912" t="s">
        <v>927</v>
      </c>
      <c r="B912" t="s">
        <v>2080</v>
      </c>
      <c r="C912" t="s">
        <v>413</v>
      </c>
      <c r="D912">
        <v>1199</v>
      </c>
      <c r="E912" s="9">
        <v>1690</v>
      </c>
      <c r="F912">
        <v>29</v>
      </c>
      <c r="G912">
        <v>4.2</v>
      </c>
      <c r="H912" s="18">
        <v>4580</v>
      </c>
      <c r="I912" t="s">
        <v>2336</v>
      </c>
    </row>
    <row r="913" spans="1:9" x14ac:dyDescent="0.25">
      <c r="A913" t="s">
        <v>928</v>
      </c>
      <c r="B913" t="s">
        <v>2081</v>
      </c>
      <c r="C913" t="s">
        <v>413</v>
      </c>
      <c r="D913">
        <v>1052</v>
      </c>
      <c r="E913" s="9">
        <v>1790</v>
      </c>
      <c r="F913">
        <v>41</v>
      </c>
      <c r="G913">
        <v>4.3</v>
      </c>
      <c r="H913" s="18">
        <v>1404</v>
      </c>
      <c r="I913" t="s">
        <v>2336</v>
      </c>
    </row>
    <row r="914" spans="1:9" x14ac:dyDescent="0.25">
      <c r="A914" t="s">
        <v>929</v>
      </c>
      <c r="B914" t="s">
        <v>2082</v>
      </c>
      <c r="C914" t="s">
        <v>413</v>
      </c>
      <c r="D914">
        <v>6499</v>
      </c>
      <c r="E914" s="9">
        <v>8995</v>
      </c>
      <c r="F914">
        <v>28</v>
      </c>
      <c r="G914">
        <v>4.3</v>
      </c>
      <c r="H914" s="18">
        <v>2810</v>
      </c>
      <c r="I914" t="s">
        <v>2339</v>
      </c>
    </row>
    <row r="915" spans="1:9" x14ac:dyDescent="0.25">
      <c r="A915" t="s">
        <v>930</v>
      </c>
      <c r="B915" t="s">
        <v>2083</v>
      </c>
      <c r="C915" t="s">
        <v>413</v>
      </c>
      <c r="D915">
        <v>239</v>
      </c>
      <c r="E915" s="9">
        <v>239</v>
      </c>
      <c r="F915">
        <v>0</v>
      </c>
      <c r="G915">
        <v>4.3</v>
      </c>
      <c r="H915" s="18">
        <v>7</v>
      </c>
      <c r="I915" t="s">
        <v>2340</v>
      </c>
    </row>
    <row r="916" spans="1:9" x14ac:dyDescent="0.25">
      <c r="A916" t="s">
        <v>931</v>
      </c>
      <c r="B916" t="s">
        <v>2084</v>
      </c>
      <c r="C916" t="s">
        <v>413</v>
      </c>
      <c r="D916">
        <v>699</v>
      </c>
      <c r="E916" s="9">
        <v>1599</v>
      </c>
      <c r="F916">
        <v>56</v>
      </c>
      <c r="G916">
        <v>4.7</v>
      </c>
      <c r="H916" s="18">
        <v>1729</v>
      </c>
      <c r="I916" t="s">
        <v>2336</v>
      </c>
    </row>
    <row r="917" spans="1:9" x14ac:dyDescent="0.25">
      <c r="A917" t="s">
        <v>932</v>
      </c>
      <c r="B917" t="s">
        <v>2085</v>
      </c>
      <c r="C917" t="s">
        <v>413</v>
      </c>
      <c r="D917">
        <v>2599</v>
      </c>
      <c r="E917" s="9">
        <v>4290</v>
      </c>
      <c r="F917">
        <v>39</v>
      </c>
      <c r="G917">
        <v>4.4000000000000004</v>
      </c>
      <c r="H917" s="18">
        <v>2116</v>
      </c>
      <c r="I917" t="s">
        <v>2339</v>
      </c>
    </row>
    <row r="918" spans="1:9" x14ac:dyDescent="0.25">
      <c r="A918" t="s">
        <v>933</v>
      </c>
      <c r="B918" t="s">
        <v>2086</v>
      </c>
      <c r="C918" t="s">
        <v>413</v>
      </c>
      <c r="D918">
        <v>1547</v>
      </c>
      <c r="E918" s="9">
        <v>2890</v>
      </c>
      <c r="F918">
        <v>46</v>
      </c>
      <c r="G918">
        <v>3.9</v>
      </c>
      <c r="H918" s="18">
        <v>463</v>
      </c>
      <c r="I918" t="s">
        <v>2339</v>
      </c>
    </row>
    <row r="919" spans="1:9" x14ac:dyDescent="0.25">
      <c r="A919" t="s">
        <v>934</v>
      </c>
      <c r="B919" t="s">
        <v>2087</v>
      </c>
      <c r="C919" t="s">
        <v>413</v>
      </c>
      <c r="D919">
        <v>499</v>
      </c>
      <c r="E919" s="9">
        <v>1299</v>
      </c>
      <c r="F919">
        <v>62</v>
      </c>
      <c r="G919">
        <v>4.7</v>
      </c>
      <c r="H919" s="18">
        <v>54</v>
      </c>
      <c r="I919" t="s">
        <v>2336</v>
      </c>
    </row>
    <row r="920" spans="1:9" x14ac:dyDescent="0.25">
      <c r="A920" t="s">
        <v>935</v>
      </c>
      <c r="B920" t="s">
        <v>2088</v>
      </c>
      <c r="C920" t="s">
        <v>413</v>
      </c>
      <c r="D920">
        <v>510</v>
      </c>
      <c r="E920" s="9">
        <v>640</v>
      </c>
      <c r="F920">
        <v>20</v>
      </c>
      <c r="G920">
        <v>4.0999999999999996</v>
      </c>
      <c r="H920" s="18">
        <v>7229</v>
      </c>
      <c r="I920" t="s">
        <v>2336</v>
      </c>
    </row>
    <row r="921" spans="1:9" x14ac:dyDescent="0.25">
      <c r="A921" t="s">
        <v>936</v>
      </c>
      <c r="B921" t="s">
        <v>2089</v>
      </c>
      <c r="C921" t="s">
        <v>413</v>
      </c>
      <c r="D921">
        <v>1899</v>
      </c>
      <c r="E921" s="9">
        <v>3790</v>
      </c>
      <c r="F921">
        <v>50</v>
      </c>
      <c r="G921">
        <v>3.8</v>
      </c>
      <c r="H921" s="18">
        <v>3842</v>
      </c>
      <c r="I921" t="s">
        <v>2339</v>
      </c>
    </row>
    <row r="922" spans="1:9" x14ac:dyDescent="0.25">
      <c r="A922" t="s">
        <v>937</v>
      </c>
      <c r="B922" t="s">
        <v>2090</v>
      </c>
      <c r="C922" t="s">
        <v>413</v>
      </c>
      <c r="D922">
        <v>2599</v>
      </c>
      <c r="E922" s="9">
        <v>4560</v>
      </c>
      <c r="F922">
        <v>43</v>
      </c>
      <c r="G922">
        <v>4.4000000000000004</v>
      </c>
      <c r="H922" s="18">
        <v>646</v>
      </c>
      <c r="I922" t="s">
        <v>2339</v>
      </c>
    </row>
    <row r="923" spans="1:9" x14ac:dyDescent="0.25">
      <c r="A923" t="s">
        <v>938</v>
      </c>
      <c r="B923" t="s">
        <v>2091</v>
      </c>
      <c r="C923" t="s">
        <v>413</v>
      </c>
      <c r="D923">
        <v>1199</v>
      </c>
      <c r="E923" s="9">
        <v>3500</v>
      </c>
      <c r="F923">
        <v>66</v>
      </c>
      <c r="G923">
        <v>4.3</v>
      </c>
      <c r="H923" s="18">
        <v>1802</v>
      </c>
      <c r="I923" t="s">
        <v>2339</v>
      </c>
    </row>
    <row r="924" spans="1:9" x14ac:dyDescent="0.25">
      <c r="A924" t="s">
        <v>939</v>
      </c>
      <c r="B924" t="s">
        <v>2092</v>
      </c>
      <c r="C924" t="s">
        <v>413</v>
      </c>
      <c r="D924">
        <v>999</v>
      </c>
      <c r="E924" s="9">
        <v>2600</v>
      </c>
      <c r="F924">
        <v>62</v>
      </c>
      <c r="G924">
        <v>3.4</v>
      </c>
      <c r="H924" s="18">
        <v>252</v>
      </c>
      <c r="I924" t="s">
        <v>2339</v>
      </c>
    </row>
    <row r="925" spans="1:9" x14ac:dyDescent="0.25">
      <c r="A925" t="s">
        <v>940</v>
      </c>
      <c r="B925" t="s">
        <v>2093</v>
      </c>
      <c r="C925" t="s">
        <v>413</v>
      </c>
      <c r="D925">
        <v>1999</v>
      </c>
      <c r="E925" s="9">
        <v>3300</v>
      </c>
      <c r="F925">
        <v>39</v>
      </c>
      <c r="G925">
        <v>4.2</v>
      </c>
      <c r="H925" s="18">
        <v>780</v>
      </c>
      <c r="I925" t="s">
        <v>2339</v>
      </c>
    </row>
    <row r="926" spans="1:9" x14ac:dyDescent="0.25">
      <c r="A926" t="s">
        <v>941</v>
      </c>
      <c r="B926" t="s">
        <v>2094</v>
      </c>
      <c r="C926" t="s">
        <v>413</v>
      </c>
      <c r="D926">
        <v>210</v>
      </c>
      <c r="E926" s="9">
        <v>699</v>
      </c>
      <c r="F926">
        <v>70</v>
      </c>
      <c r="G926">
        <v>3.7</v>
      </c>
      <c r="H926" s="18">
        <v>74</v>
      </c>
      <c r="I926" t="s">
        <v>2336</v>
      </c>
    </row>
    <row r="927" spans="1:9" x14ac:dyDescent="0.25">
      <c r="A927" t="s">
        <v>942</v>
      </c>
      <c r="B927" t="s">
        <v>2095</v>
      </c>
      <c r="C927" t="s">
        <v>413</v>
      </c>
      <c r="D927">
        <v>14499</v>
      </c>
      <c r="E927" s="9">
        <v>23559</v>
      </c>
      <c r="F927">
        <v>38</v>
      </c>
      <c r="G927">
        <v>4.3</v>
      </c>
      <c r="H927" s="18">
        <v>2026</v>
      </c>
      <c r="I927" t="s">
        <v>2339</v>
      </c>
    </row>
    <row r="928" spans="1:9" x14ac:dyDescent="0.25">
      <c r="A928" t="s">
        <v>943</v>
      </c>
      <c r="B928" t="s">
        <v>2096</v>
      </c>
      <c r="C928" t="s">
        <v>413</v>
      </c>
      <c r="D928">
        <v>950</v>
      </c>
      <c r="E928" s="9">
        <v>1599</v>
      </c>
      <c r="F928">
        <v>41</v>
      </c>
      <c r="G928">
        <v>4.3</v>
      </c>
      <c r="H928" s="18">
        <v>5911</v>
      </c>
      <c r="I928" t="s">
        <v>2336</v>
      </c>
    </row>
    <row r="929" spans="1:9" x14ac:dyDescent="0.25">
      <c r="A929" t="s">
        <v>944</v>
      </c>
      <c r="B929" t="s">
        <v>2097</v>
      </c>
      <c r="C929" t="s">
        <v>413</v>
      </c>
      <c r="D929">
        <v>7199</v>
      </c>
      <c r="E929" s="9">
        <v>9995</v>
      </c>
      <c r="F929">
        <v>28</v>
      </c>
      <c r="G929">
        <v>4.4000000000000004</v>
      </c>
      <c r="H929" s="18">
        <v>1964</v>
      </c>
      <c r="I929" t="s">
        <v>2339</v>
      </c>
    </row>
    <row r="930" spans="1:9" x14ac:dyDescent="0.25">
      <c r="A930" t="s">
        <v>945</v>
      </c>
      <c r="B930" t="s">
        <v>2098</v>
      </c>
      <c r="C930" t="s">
        <v>413</v>
      </c>
      <c r="D930">
        <v>2439</v>
      </c>
      <c r="E930" s="9">
        <v>2545</v>
      </c>
      <c r="F930">
        <v>4</v>
      </c>
      <c r="G930">
        <v>4.0999999999999996</v>
      </c>
      <c r="H930" s="18">
        <v>25</v>
      </c>
      <c r="I930" t="s">
        <v>2339</v>
      </c>
    </row>
    <row r="931" spans="1:9" x14ac:dyDescent="0.25">
      <c r="A931" t="s">
        <v>946</v>
      </c>
      <c r="B931" t="s">
        <v>2099</v>
      </c>
      <c r="C931" t="s">
        <v>413</v>
      </c>
      <c r="D931">
        <v>7799</v>
      </c>
      <c r="E931" s="9">
        <v>8995</v>
      </c>
      <c r="F931">
        <v>13</v>
      </c>
      <c r="G931">
        <v>4</v>
      </c>
      <c r="H931" s="18">
        <v>3160</v>
      </c>
      <c r="I931" t="s">
        <v>2339</v>
      </c>
    </row>
    <row r="932" spans="1:9" x14ac:dyDescent="0.25">
      <c r="A932" t="s">
        <v>947</v>
      </c>
      <c r="B932" t="s">
        <v>2100</v>
      </c>
      <c r="C932" t="s">
        <v>413</v>
      </c>
      <c r="D932">
        <v>1599</v>
      </c>
      <c r="E932" s="9">
        <v>1999</v>
      </c>
      <c r="F932">
        <v>20</v>
      </c>
      <c r="G932">
        <v>4.4000000000000004</v>
      </c>
      <c r="H932" s="18">
        <v>1558</v>
      </c>
      <c r="I932" t="s">
        <v>2336</v>
      </c>
    </row>
    <row r="933" spans="1:9" x14ac:dyDescent="0.25">
      <c r="A933" t="s">
        <v>948</v>
      </c>
      <c r="B933" t="s">
        <v>2101</v>
      </c>
      <c r="C933" t="s">
        <v>413</v>
      </c>
      <c r="D933">
        <v>9799</v>
      </c>
      <c r="E933" s="9">
        <v>12150</v>
      </c>
      <c r="F933">
        <v>19</v>
      </c>
      <c r="G933">
        <v>4.3</v>
      </c>
      <c r="H933" s="18">
        <v>13251</v>
      </c>
      <c r="I933" t="s">
        <v>2339</v>
      </c>
    </row>
    <row r="934" spans="1:9" x14ac:dyDescent="0.25">
      <c r="A934" t="s">
        <v>949</v>
      </c>
      <c r="B934" t="s">
        <v>2102</v>
      </c>
      <c r="C934" t="s">
        <v>413</v>
      </c>
      <c r="D934">
        <v>3299</v>
      </c>
      <c r="E934" s="9">
        <v>4995</v>
      </c>
      <c r="F934">
        <v>34</v>
      </c>
      <c r="G934">
        <v>3.8</v>
      </c>
      <c r="H934" s="18">
        <v>1393</v>
      </c>
      <c r="I934" t="s">
        <v>2339</v>
      </c>
    </row>
    <row r="935" spans="1:9" x14ac:dyDescent="0.25">
      <c r="A935" t="s">
        <v>950</v>
      </c>
      <c r="B935" t="s">
        <v>2103</v>
      </c>
      <c r="C935" t="s">
        <v>413</v>
      </c>
      <c r="D935">
        <v>669</v>
      </c>
      <c r="E935" s="9">
        <v>1499</v>
      </c>
      <c r="F935">
        <v>55</v>
      </c>
      <c r="G935">
        <v>2.2999999999999998</v>
      </c>
      <c r="H935" s="18">
        <v>13</v>
      </c>
      <c r="I935" t="s">
        <v>2336</v>
      </c>
    </row>
    <row r="936" spans="1:9" x14ac:dyDescent="0.25">
      <c r="A936" t="s">
        <v>951</v>
      </c>
      <c r="B936" t="s">
        <v>2104</v>
      </c>
      <c r="C936" t="s">
        <v>413</v>
      </c>
      <c r="D936">
        <v>5890</v>
      </c>
      <c r="E936" s="9">
        <v>7506</v>
      </c>
      <c r="F936">
        <v>22</v>
      </c>
      <c r="G936">
        <v>4.5</v>
      </c>
      <c r="H936" s="18">
        <v>7241</v>
      </c>
      <c r="I936" t="s">
        <v>2339</v>
      </c>
    </row>
    <row r="937" spans="1:9" x14ac:dyDescent="0.25">
      <c r="A937" t="s">
        <v>952</v>
      </c>
      <c r="B937" t="s">
        <v>2105</v>
      </c>
      <c r="C937" t="s">
        <v>413</v>
      </c>
      <c r="D937">
        <v>9199</v>
      </c>
      <c r="E937" s="9">
        <v>18000</v>
      </c>
      <c r="F937">
        <v>49</v>
      </c>
      <c r="G937">
        <v>4</v>
      </c>
      <c r="H937" s="18">
        <v>16020</v>
      </c>
      <c r="I937" t="s">
        <v>2339</v>
      </c>
    </row>
    <row r="938" spans="1:9" x14ac:dyDescent="0.25">
      <c r="A938" t="s">
        <v>953</v>
      </c>
      <c r="B938" t="s">
        <v>2106</v>
      </c>
      <c r="C938" t="s">
        <v>413</v>
      </c>
      <c r="D938">
        <v>351</v>
      </c>
      <c r="E938" s="9">
        <v>1099</v>
      </c>
      <c r="F938">
        <v>68</v>
      </c>
      <c r="G938">
        <v>3.7</v>
      </c>
      <c r="H938" s="18">
        <v>1470</v>
      </c>
      <c r="I938" t="s">
        <v>2336</v>
      </c>
    </row>
    <row r="939" spans="1:9" x14ac:dyDescent="0.25">
      <c r="A939" t="s">
        <v>954</v>
      </c>
      <c r="B939" t="s">
        <v>2107</v>
      </c>
      <c r="C939" t="s">
        <v>955</v>
      </c>
      <c r="D939">
        <v>899</v>
      </c>
      <c r="E939" s="9">
        <v>1900</v>
      </c>
      <c r="F939">
        <v>53</v>
      </c>
      <c r="G939">
        <v>4</v>
      </c>
      <c r="H939" s="18">
        <v>3663</v>
      </c>
      <c r="I939" t="s">
        <v>2336</v>
      </c>
    </row>
    <row r="940" spans="1:9" x14ac:dyDescent="0.25">
      <c r="A940" t="s">
        <v>956</v>
      </c>
      <c r="B940" t="s">
        <v>2108</v>
      </c>
      <c r="C940" t="s">
        <v>413</v>
      </c>
      <c r="D940">
        <v>1349</v>
      </c>
      <c r="E940" s="9">
        <v>1850</v>
      </c>
      <c r="F940">
        <v>27</v>
      </c>
      <c r="G940">
        <v>4.4000000000000004</v>
      </c>
      <c r="H940" s="18">
        <v>638</v>
      </c>
      <c r="I940" t="s">
        <v>2336</v>
      </c>
    </row>
    <row r="941" spans="1:9" x14ac:dyDescent="0.25">
      <c r="A941" t="s">
        <v>957</v>
      </c>
      <c r="B941" t="s">
        <v>2109</v>
      </c>
      <c r="C941" t="s">
        <v>413</v>
      </c>
      <c r="D941">
        <v>6236</v>
      </c>
      <c r="E941" s="9">
        <v>9999</v>
      </c>
      <c r="F941">
        <v>38</v>
      </c>
      <c r="G941">
        <v>4.0999999999999996</v>
      </c>
      <c r="H941" s="18">
        <v>3552</v>
      </c>
      <c r="I941" t="s">
        <v>2339</v>
      </c>
    </row>
    <row r="942" spans="1:9" x14ac:dyDescent="0.25">
      <c r="A942" t="s">
        <v>958</v>
      </c>
      <c r="B942" t="s">
        <v>2110</v>
      </c>
      <c r="C942" t="s">
        <v>413</v>
      </c>
      <c r="D942">
        <v>2742</v>
      </c>
      <c r="E942" s="9">
        <v>3995</v>
      </c>
      <c r="F942">
        <v>31</v>
      </c>
      <c r="G942">
        <v>4.4000000000000004</v>
      </c>
      <c r="H942" s="18">
        <v>11148</v>
      </c>
      <c r="I942" t="s">
        <v>2339</v>
      </c>
    </row>
    <row r="943" spans="1:9" x14ac:dyDescent="0.25">
      <c r="A943" t="s">
        <v>959</v>
      </c>
      <c r="B943" t="s">
        <v>2111</v>
      </c>
      <c r="C943" t="s">
        <v>413</v>
      </c>
      <c r="D943">
        <v>721</v>
      </c>
      <c r="E943" s="9">
        <v>1499</v>
      </c>
      <c r="F943">
        <v>52</v>
      </c>
      <c r="G943">
        <v>3.1</v>
      </c>
      <c r="H943" s="18">
        <v>2449</v>
      </c>
      <c r="I943" t="s">
        <v>2336</v>
      </c>
    </row>
    <row r="944" spans="1:9" x14ac:dyDescent="0.25">
      <c r="A944" t="s">
        <v>960</v>
      </c>
      <c r="B944" t="s">
        <v>2112</v>
      </c>
      <c r="C944" t="s">
        <v>413</v>
      </c>
      <c r="D944">
        <v>1656</v>
      </c>
      <c r="E944" s="9">
        <v>2695</v>
      </c>
      <c r="F944">
        <v>39</v>
      </c>
      <c r="G944">
        <v>4.4000000000000004</v>
      </c>
      <c r="H944" s="18">
        <v>6027</v>
      </c>
      <c r="I944" t="s">
        <v>2339</v>
      </c>
    </row>
    <row r="945" spans="1:9" x14ac:dyDescent="0.25">
      <c r="A945" t="s">
        <v>961</v>
      </c>
      <c r="B945" t="s">
        <v>2113</v>
      </c>
      <c r="C945" t="s">
        <v>413</v>
      </c>
      <c r="D945">
        <v>1399</v>
      </c>
      <c r="E945" s="9">
        <v>2290</v>
      </c>
      <c r="F945">
        <v>39</v>
      </c>
      <c r="G945">
        <v>4.4000000000000004</v>
      </c>
      <c r="H945" s="18">
        <v>461</v>
      </c>
      <c r="I945" t="s">
        <v>2339</v>
      </c>
    </row>
    <row r="946" spans="1:9" x14ac:dyDescent="0.25">
      <c r="A946" t="s">
        <v>962</v>
      </c>
      <c r="B946" t="s">
        <v>2114</v>
      </c>
      <c r="C946" t="s">
        <v>413</v>
      </c>
      <c r="D946">
        <v>2079</v>
      </c>
      <c r="E946" s="9">
        <v>3099</v>
      </c>
      <c r="F946">
        <v>33</v>
      </c>
      <c r="G946">
        <v>4.0999999999999996</v>
      </c>
      <c r="H946" s="18">
        <v>282</v>
      </c>
      <c r="I946" t="s">
        <v>2339</v>
      </c>
    </row>
    <row r="947" spans="1:9" x14ac:dyDescent="0.25">
      <c r="A947" t="s">
        <v>963</v>
      </c>
      <c r="B947" t="s">
        <v>2115</v>
      </c>
      <c r="C947" t="s">
        <v>413</v>
      </c>
      <c r="D947">
        <v>999</v>
      </c>
      <c r="E947" s="9">
        <v>1075</v>
      </c>
      <c r="F947">
        <v>7</v>
      </c>
      <c r="G947">
        <v>4.0999999999999996</v>
      </c>
      <c r="H947" s="18">
        <v>9275</v>
      </c>
      <c r="I947" t="s">
        <v>2336</v>
      </c>
    </row>
    <row r="948" spans="1:9" x14ac:dyDescent="0.25">
      <c r="A948" t="s">
        <v>964</v>
      </c>
      <c r="B948" t="s">
        <v>2116</v>
      </c>
      <c r="C948" t="s">
        <v>413</v>
      </c>
      <c r="D948">
        <v>3179</v>
      </c>
      <c r="E948" s="9">
        <v>6999</v>
      </c>
      <c r="F948">
        <v>55</v>
      </c>
      <c r="G948">
        <v>4</v>
      </c>
      <c r="H948" s="18">
        <v>743</v>
      </c>
      <c r="I948" t="s">
        <v>2339</v>
      </c>
    </row>
    <row r="949" spans="1:9" x14ac:dyDescent="0.25">
      <c r="A949" t="s">
        <v>965</v>
      </c>
      <c r="B949" t="s">
        <v>2117</v>
      </c>
      <c r="C949" t="s">
        <v>413</v>
      </c>
      <c r="D949">
        <v>3599</v>
      </c>
      <c r="E949" s="9">
        <v>7290</v>
      </c>
      <c r="F949">
        <v>51</v>
      </c>
      <c r="G949">
        <v>3.9</v>
      </c>
      <c r="H949" s="18">
        <v>942</v>
      </c>
      <c r="I949" t="s">
        <v>2339</v>
      </c>
    </row>
    <row r="950" spans="1:9" x14ac:dyDescent="0.25">
      <c r="A950" t="s">
        <v>966</v>
      </c>
      <c r="B950" t="s">
        <v>2118</v>
      </c>
      <c r="C950" t="s">
        <v>413</v>
      </c>
      <c r="D950">
        <v>4799</v>
      </c>
      <c r="E950" s="9">
        <v>5795</v>
      </c>
      <c r="F950">
        <v>17</v>
      </c>
      <c r="G950">
        <v>3.9</v>
      </c>
      <c r="H950" s="18">
        <v>3815</v>
      </c>
      <c r="I950" t="s">
        <v>2339</v>
      </c>
    </row>
    <row r="951" spans="1:9" x14ac:dyDescent="0.25">
      <c r="A951" t="s">
        <v>967</v>
      </c>
      <c r="B951" t="s">
        <v>2119</v>
      </c>
      <c r="C951" t="s">
        <v>413</v>
      </c>
      <c r="D951">
        <v>1699</v>
      </c>
      <c r="E951" s="9">
        <v>3398</v>
      </c>
      <c r="F951">
        <v>50</v>
      </c>
      <c r="G951">
        <v>3.8</v>
      </c>
      <c r="H951" s="18">
        <v>7988</v>
      </c>
      <c r="I951" t="s">
        <v>2339</v>
      </c>
    </row>
    <row r="952" spans="1:9" x14ac:dyDescent="0.25">
      <c r="A952" t="s">
        <v>968</v>
      </c>
      <c r="B952" t="s">
        <v>2120</v>
      </c>
      <c r="C952" t="s">
        <v>413</v>
      </c>
      <c r="D952">
        <v>664</v>
      </c>
      <c r="E952" s="9">
        <v>1490</v>
      </c>
      <c r="F952">
        <v>55</v>
      </c>
      <c r="G952">
        <v>4.0999999999999996</v>
      </c>
      <c r="H952" s="18">
        <v>925</v>
      </c>
      <c r="I952" t="s">
        <v>2336</v>
      </c>
    </row>
    <row r="953" spans="1:9" x14ac:dyDescent="0.25">
      <c r="A953" t="s">
        <v>969</v>
      </c>
      <c r="B953" t="s">
        <v>2121</v>
      </c>
      <c r="C953" t="s">
        <v>413</v>
      </c>
      <c r="D953">
        <v>948</v>
      </c>
      <c r="E953" s="9">
        <v>1620</v>
      </c>
      <c r="F953">
        <v>41</v>
      </c>
      <c r="G953">
        <v>4.0999999999999996</v>
      </c>
      <c r="H953" s="18">
        <v>4370</v>
      </c>
      <c r="I953" t="s">
        <v>2336</v>
      </c>
    </row>
    <row r="954" spans="1:9" x14ac:dyDescent="0.25">
      <c r="A954" t="s">
        <v>970</v>
      </c>
      <c r="B954" t="s">
        <v>2122</v>
      </c>
      <c r="C954" t="s">
        <v>413</v>
      </c>
      <c r="D954">
        <v>850</v>
      </c>
      <c r="E954" s="9">
        <v>1000</v>
      </c>
      <c r="F954">
        <v>15</v>
      </c>
      <c r="G954">
        <v>4.0999999999999996</v>
      </c>
      <c r="H954" s="18">
        <v>7619</v>
      </c>
      <c r="I954" t="s">
        <v>2336</v>
      </c>
    </row>
    <row r="955" spans="1:9" x14ac:dyDescent="0.25">
      <c r="A955" t="s">
        <v>971</v>
      </c>
      <c r="B955" t="s">
        <v>2123</v>
      </c>
      <c r="C955" t="s">
        <v>413</v>
      </c>
      <c r="D955">
        <v>600</v>
      </c>
      <c r="E955" s="9">
        <v>640</v>
      </c>
      <c r="F955">
        <v>6</v>
      </c>
      <c r="G955">
        <v>3.8</v>
      </c>
      <c r="H955" s="18">
        <v>2593</v>
      </c>
      <c r="I955" t="s">
        <v>2336</v>
      </c>
    </row>
    <row r="956" spans="1:9" x14ac:dyDescent="0.25">
      <c r="A956" t="s">
        <v>972</v>
      </c>
      <c r="B956" t="s">
        <v>2124</v>
      </c>
      <c r="C956" t="s">
        <v>413</v>
      </c>
      <c r="D956">
        <v>3711</v>
      </c>
      <c r="E956" s="9">
        <v>4495</v>
      </c>
      <c r="F956">
        <v>17</v>
      </c>
      <c r="G956">
        <v>4.3</v>
      </c>
      <c r="H956" s="18">
        <v>356</v>
      </c>
      <c r="I956" t="s">
        <v>2339</v>
      </c>
    </row>
    <row r="957" spans="1:9" x14ac:dyDescent="0.25">
      <c r="A957" t="s">
        <v>973</v>
      </c>
      <c r="B957" t="s">
        <v>2125</v>
      </c>
      <c r="C957" t="s">
        <v>413</v>
      </c>
      <c r="D957">
        <v>799</v>
      </c>
      <c r="E957" s="9">
        <v>2999</v>
      </c>
      <c r="F957">
        <v>73</v>
      </c>
      <c r="G957">
        <v>4.5</v>
      </c>
      <c r="H957" s="18">
        <v>63</v>
      </c>
      <c r="I957" t="s">
        <v>2339</v>
      </c>
    </row>
    <row r="958" spans="1:9" x14ac:dyDescent="0.25">
      <c r="A958" t="s">
        <v>974</v>
      </c>
      <c r="B958" t="s">
        <v>2126</v>
      </c>
      <c r="C958" t="s">
        <v>413</v>
      </c>
      <c r="D958">
        <v>980</v>
      </c>
      <c r="E958" s="9">
        <v>980</v>
      </c>
      <c r="F958">
        <v>0</v>
      </c>
      <c r="G958">
        <v>4.2</v>
      </c>
      <c r="H958" s="18">
        <v>4740</v>
      </c>
      <c r="I958" t="s">
        <v>2336</v>
      </c>
    </row>
    <row r="959" spans="1:9" x14ac:dyDescent="0.25">
      <c r="A959" t="s">
        <v>975</v>
      </c>
      <c r="B959" t="s">
        <v>2127</v>
      </c>
      <c r="C959" t="s">
        <v>413</v>
      </c>
      <c r="D959">
        <v>351</v>
      </c>
      <c r="E959" s="9">
        <v>899</v>
      </c>
      <c r="F959">
        <v>61</v>
      </c>
      <c r="G959">
        <v>3.9</v>
      </c>
      <c r="H959" s="18">
        <v>296</v>
      </c>
      <c r="I959" t="s">
        <v>2336</v>
      </c>
    </row>
    <row r="960" spans="1:9" x14ac:dyDescent="0.25">
      <c r="A960" t="s">
        <v>976</v>
      </c>
      <c r="B960" t="s">
        <v>2128</v>
      </c>
      <c r="C960" t="s">
        <v>413</v>
      </c>
      <c r="D960">
        <v>229</v>
      </c>
      <c r="E960" s="9">
        <v>499</v>
      </c>
      <c r="F960">
        <v>54</v>
      </c>
      <c r="G960">
        <v>3.5</v>
      </c>
      <c r="H960" s="18">
        <v>185</v>
      </c>
      <c r="I960" t="s">
        <v>2340</v>
      </c>
    </row>
    <row r="961" spans="1:9" x14ac:dyDescent="0.25">
      <c r="A961" t="s">
        <v>977</v>
      </c>
      <c r="B961" t="s">
        <v>2129</v>
      </c>
      <c r="C961" t="s">
        <v>413</v>
      </c>
      <c r="D961">
        <v>3349</v>
      </c>
      <c r="E961" s="9">
        <v>3995</v>
      </c>
      <c r="F961">
        <v>16</v>
      </c>
      <c r="G961">
        <v>4.3</v>
      </c>
      <c r="H961" s="18">
        <v>1954</v>
      </c>
      <c r="I961" t="s">
        <v>2339</v>
      </c>
    </row>
    <row r="962" spans="1:9" x14ac:dyDescent="0.25">
      <c r="A962" t="s">
        <v>978</v>
      </c>
      <c r="B962" t="s">
        <v>2130</v>
      </c>
      <c r="C962" t="s">
        <v>413</v>
      </c>
      <c r="D962">
        <v>5499</v>
      </c>
      <c r="E962" s="9">
        <v>11500</v>
      </c>
      <c r="F962">
        <v>52</v>
      </c>
      <c r="G962">
        <v>3.9</v>
      </c>
      <c r="H962" s="18">
        <v>959</v>
      </c>
      <c r="I962" t="s">
        <v>2339</v>
      </c>
    </row>
    <row r="963" spans="1:9" x14ac:dyDescent="0.25">
      <c r="A963" t="s">
        <v>979</v>
      </c>
      <c r="B963" t="s">
        <v>2131</v>
      </c>
      <c r="C963" t="s">
        <v>413</v>
      </c>
      <c r="D963">
        <v>299</v>
      </c>
      <c r="E963" s="9">
        <v>499</v>
      </c>
      <c r="F963">
        <v>40</v>
      </c>
      <c r="G963">
        <v>3.9</v>
      </c>
      <c r="H963" s="18">
        <v>1015</v>
      </c>
      <c r="I963" t="s">
        <v>2340</v>
      </c>
    </row>
    <row r="964" spans="1:9" x14ac:dyDescent="0.25">
      <c r="A964" t="s">
        <v>980</v>
      </c>
      <c r="B964" t="s">
        <v>2132</v>
      </c>
      <c r="C964" t="s">
        <v>413</v>
      </c>
      <c r="D964">
        <v>2249</v>
      </c>
      <c r="E964" s="9">
        <v>3550</v>
      </c>
      <c r="F964">
        <v>37</v>
      </c>
      <c r="G964">
        <v>4</v>
      </c>
      <c r="H964" s="18">
        <v>3973</v>
      </c>
      <c r="I964" t="s">
        <v>2339</v>
      </c>
    </row>
    <row r="965" spans="1:9" x14ac:dyDescent="0.25">
      <c r="A965" t="s">
        <v>981</v>
      </c>
      <c r="B965" t="s">
        <v>2133</v>
      </c>
      <c r="C965" t="s">
        <v>413</v>
      </c>
      <c r="D965">
        <v>699</v>
      </c>
      <c r="E965" s="9">
        <v>1599</v>
      </c>
      <c r="F965">
        <v>56</v>
      </c>
      <c r="G965">
        <v>4.7</v>
      </c>
      <c r="H965" s="18">
        <v>2300</v>
      </c>
      <c r="I965" t="s">
        <v>2336</v>
      </c>
    </row>
    <row r="966" spans="1:9" x14ac:dyDescent="0.25">
      <c r="A966" t="s">
        <v>982</v>
      </c>
      <c r="B966" t="s">
        <v>2134</v>
      </c>
      <c r="C966" t="s">
        <v>413</v>
      </c>
      <c r="D966">
        <v>1235</v>
      </c>
      <c r="E966" s="9">
        <v>1499</v>
      </c>
      <c r="F966">
        <v>18</v>
      </c>
      <c r="G966">
        <v>4.0999999999999996</v>
      </c>
      <c r="H966" s="18">
        <v>203</v>
      </c>
      <c r="I966" t="s">
        <v>2336</v>
      </c>
    </row>
    <row r="967" spans="1:9" x14ac:dyDescent="0.25">
      <c r="A967" t="s">
        <v>983</v>
      </c>
      <c r="B967" t="s">
        <v>2135</v>
      </c>
      <c r="C967" t="s">
        <v>413</v>
      </c>
      <c r="D967">
        <v>1349</v>
      </c>
      <c r="E967" s="9">
        <v>2999</v>
      </c>
      <c r="F967">
        <v>55</v>
      </c>
      <c r="G967">
        <v>3.8</v>
      </c>
      <c r="H967" s="18">
        <v>441</v>
      </c>
      <c r="I967" t="s">
        <v>2339</v>
      </c>
    </row>
    <row r="968" spans="1:9" x14ac:dyDescent="0.25">
      <c r="A968" t="s">
        <v>984</v>
      </c>
      <c r="B968" t="s">
        <v>2136</v>
      </c>
      <c r="C968" t="s">
        <v>413</v>
      </c>
      <c r="D968">
        <v>6800</v>
      </c>
      <c r="E968" s="9">
        <v>11500</v>
      </c>
      <c r="F968">
        <v>41</v>
      </c>
      <c r="G968">
        <v>4.0999999999999996</v>
      </c>
      <c r="H968" s="18">
        <v>10308</v>
      </c>
      <c r="I968" t="s">
        <v>2339</v>
      </c>
    </row>
    <row r="969" spans="1:9" x14ac:dyDescent="0.25">
      <c r="A969" t="s">
        <v>985</v>
      </c>
      <c r="B969" t="s">
        <v>2137</v>
      </c>
      <c r="C969" t="s">
        <v>413</v>
      </c>
      <c r="D969">
        <v>2099</v>
      </c>
      <c r="E969" s="9">
        <v>2499</v>
      </c>
      <c r="F969">
        <v>16</v>
      </c>
      <c r="H969" s="18">
        <v>992</v>
      </c>
      <c r="I969" t="s">
        <v>2339</v>
      </c>
    </row>
    <row r="970" spans="1:9" x14ac:dyDescent="0.25">
      <c r="A970" t="s">
        <v>986</v>
      </c>
      <c r="B970" t="s">
        <v>2138</v>
      </c>
      <c r="C970" t="s">
        <v>413</v>
      </c>
      <c r="D970">
        <v>1699</v>
      </c>
      <c r="E970" s="9">
        <v>1975</v>
      </c>
      <c r="F970">
        <v>14</v>
      </c>
      <c r="G970">
        <v>4.0999999999999996</v>
      </c>
      <c r="H970" s="18">
        <v>4716</v>
      </c>
      <c r="I970" t="s">
        <v>2336</v>
      </c>
    </row>
    <row r="971" spans="1:9" x14ac:dyDescent="0.25">
      <c r="A971" t="s">
        <v>987</v>
      </c>
      <c r="B971" t="s">
        <v>2139</v>
      </c>
      <c r="C971" t="s">
        <v>413</v>
      </c>
      <c r="D971">
        <v>1069</v>
      </c>
      <c r="E971" s="9">
        <v>1699</v>
      </c>
      <c r="F971">
        <v>37</v>
      </c>
      <c r="G971">
        <v>3.9</v>
      </c>
      <c r="H971" s="18">
        <v>313</v>
      </c>
      <c r="I971" t="s">
        <v>2336</v>
      </c>
    </row>
    <row r="972" spans="1:9" x14ac:dyDescent="0.25">
      <c r="A972" t="s">
        <v>988</v>
      </c>
      <c r="B972" t="s">
        <v>2140</v>
      </c>
      <c r="C972" t="s">
        <v>413</v>
      </c>
      <c r="D972">
        <v>1349</v>
      </c>
      <c r="E972" s="9">
        <v>2495</v>
      </c>
      <c r="F972">
        <v>46</v>
      </c>
      <c r="G972">
        <v>3.8</v>
      </c>
      <c r="H972" s="18">
        <v>166</v>
      </c>
      <c r="I972" t="s">
        <v>2339</v>
      </c>
    </row>
    <row r="973" spans="1:9" x14ac:dyDescent="0.25">
      <c r="A973" t="s">
        <v>989</v>
      </c>
      <c r="B973" t="s">
        <v>2141</v>
      </c>
      <c r="C973" t="s">
        <v>413</v>
      </c>
      <c r="D973">
        <v>1499</v>
      </c>
      <c r="E973" s="9">
        <v>3500</v>
      </c>
      <c r="F973">
        <v>57</v>
      </c>
      <c r="G973">
        <v>4.0999999999999996</v>
      </c>
      <c r="H973" s="18">
        <v>303</v>
      </c>
      <c r="I973" t="s">
        <v>2339</v>
      </c>
    </row>
    <row r="974" spans="1:9" x14ac:dyDescent="0.25">
      <c r="A974" t="s">
        <v>990</v>
      </c>
      <c r="B974" t="s">
        <v>2142</v>
      </c>
      <c r="C974" t="s">
        <v>413</v>
      </c>
      <c r="D974">
        <v>2092</v>
      </c>
      <c r="E974" s="9">
        <v>4600</v>
      </c>
      <c r="F974">
        <v>55</v>
      </c>
      <c r="G974">
        <v>4.3</v>
      </c>
      <c r="H974" s="18">
        <v>562</v>
      </c>
      <c r="I974" t="s">
        <v>2339</v>
      </c>
    </row>
    <row r="975" spans="1:9" x14ac:dyDescent="0.25">
      <c r="A975" t="s">
        <v>991</v>
      </c>
      <c r="B975" t="s">
        <v>2143</v>
      </c>
      <c r="C975" t="s">
        <v>413</v>
      </c>
      <c r="D975">
        <v>3859</v>
      </c>
      <c r="E975" s="9">
        <v>10295</v>
      </c>
      <c r="F975">
        <v>63</v>
      </c>
      <c r="G975">
        <v>3.9</v>
      </c>
      <c r="H975" s="18">
        <v>8095</v>
      </c>
      <c r="I975" t="s">
        <v>2339</v>
      </c>
    </row>
    <row r="976" spans="1:9" x14ac:dyDescent="0.25">
      <c r="A976" t="s">
        <v>992</v>
      </c>
      <c r="B976" t="s">
        <v>2144</v>
      </c>
      <c r="C976" t="s">
        <v>413</v>
      </c>
      <c r="D976">
        <v>499</v>
      </c>
      <c r="E976" s="9">
        <v>2199</v>
      </c>
      <c r="F976">
        <v>77</v>
      </c>
      <c r="G976">
        <v>2.8</v>
      </c>
      <c r="H976" s="18">
        <v>109</v>
      </c>
      <c r="I976" t="s">
        <v>2339</v>
      </c>
    </row>
    <row r="977" spans="1:9" x14ac:dyDescent="0.25">
      <c r="A977" t="s">
        <v>993</v>
      </c>
      <c r="B977" t="s">
        <v>2145</v>
      </c>
      <c r="C977" t="s">
        <v>413</v>
      </c>
      <c r="D977">
        <v>1804</v>
      </c>
      <c r="E977" s="9">
        <v>2380</v>
      </c>
      <c r="F977">
        <v>24</v>
      </c>
      <c r="G977">
        <v>4</v>
      </c>
      <c r="H977" s="18">
        <v>15382</v>
      </c>
      <c r="I977" t="s">
        <v>2339</v>
      </c>
    </row>
    <row r="978" spans="1:9" x14ac:dyDescent="0.25">
      <c r="A978" t="s">
        <v>994</v>
      </c>
      <c r="B978" t="s">
        <v>2146</v>
      </c>
      <c r="C978" t="s">
        <v>413</v>
      </c>
      <c r="D978">
        <v>4999</v>
      </c>
      <c r="E978" s="9">
        <v>24999</v>
      </c>
      <c r="F978">
        <v>80</v>
      </c>
      <c r="G978">
        <v>4.5999999999999996</v>
      </c>
      <c r="H978" s="18">
        <v>124</v>
      </c>
      <c r="I978" t="s">
        <v>2339</v>
      </c>
    </row>
    <row r="979" spans="1:9" x14ac:dyDescent="0.25">
      <c r="A979" t="s">
        <v>995</v>
      </c>
      <c r="B979" t="s">
        <v>2147</v>
      </c>
      <c r="C979" t="s">
        <v>413</v>
      </c>
      <c r="D979">
        <v>1189</v>
      </c>
      <c r="E979" s="9">
        <v>2400</v>
      </c>
      <c r="F979">
        <v>50</v>
      </c>
      <c r="G979">
        <v>4.0999999999999996</v>
      </c>
      <c r="H979" s="18">
        <v>618</v>
      </c>
      <c r="I979" t="s">
        <v>2339</v>
      </c>
    </row>
    <row r="980" spans="1:9" x14ac:dyDescent="0.25">
      <c r="A980" t="s">
        <v>996</v>
      </c>
      <c r="B980" t="s">
        <v>2148</v>
      </c>
      <c r="C980" t="s">
        <v>413</v>
      </c>
      <c r="D980">
        <v>2590</v>
      </c>
      <c r="E980" s="9">
        <v>4200</v>
      </c>
      <c r="F980">
        <v>38</v>
      </c>
      <c r="G980">
        <v>4.0999999999999996</v>
      </c>
      <c r="H980" s="18">
        <v>63</v>
      </c>
      <c r="I980" t="s">
        <v>2339</v>
      </c>
    </row>
    <row r="981" spans="1:9" x14ac:dyDescent="0.25">
      <c r="A981" t="s">
        <v>997</v>
      </c>
      <c r="B981" t="s">
        <v>2149</v>
      </c>
      <c r="C981" t="s">
        <v>413</v>
      </c>
      <c r="D981">
        <v>899</v>
      </c>
      <c r="E981" s="9">
        <v>1599</v>
      </c>
      <c r="F981">
        <v>44</v>
      </c>
      <c r="G981">
        <v>3.4</v>
      </c>
      <c r="H981" s="18">
        <v>15</v>
      </c>
      <c r="I981" t="s">
        <v>2336</v>
      </c>
    </row>
    <row r="982" spans="1:9" x14ac:dyDescent="0.25">
      <c r="A982" t="s">
        <v>998</v>
      </c>
      <c r="B982" t="s">
        <v>2150</v>
      </c>
      <c r="C982" t="s">
        <v>413</v>
      </c>
      <c r="D982">
        <v>998</v>
      </c>
      <c r="E982" s="9">
        <v>2999</v>
      </c>
      <c r="F982">
        <v>67</v>
      </c>
      <c r="G982">
        <v>4.5999999999999996</v>
      </c>
      <c r="H982" s="18">
        <v>9</v>
      </c>
      <c r="I982" t="s">
        <v>2339</v>
      </c>
    </row>
    <row r="983" spans="1:9" x14ac:dyDescent="0.25">
      <c r="A983" t="s">
        <v>999</v>
      </c>
      <c r="B983" t="s">
        <v>2151</v>
      </c>
      <c r="C983" t="s">
        <v>413</v>
      </c>
      <c r="D983">
        <v>99806</v>
      </c>
      <c r="E983" s="9">
        <v>1282</v>
      </c>
      <c r="F983">
        <v>22</v>
      </c>
      <c r="G983">
        <v>4.2</v>
      </c>
      <c r="H983" s="18">
        <v>7274</v>
      </c>
      <c r="I983" t="s">
        <v>2336</v>
      </c>
    </row>
    <row r="984" spans="1:9" x14ac:dyDescent="0.25">
      <c r="A984" t="s">
        <v>1000</v>
      </c>
      <c r="B984" t="s">
        <v>2152</v>
      </c>
      <c r="C984" t="s">
        <v>413</v>
      </c>
      <c r="D984">
        <v>1099</v>
      </c>
      <c r="E984" s="9">
        <v>1990</v>
      </c>
      <c r="F984">
        <v>45</v>
      </c>
      <c r="G984">
        <v>3.9</v>
      </c>
      <c r="H984" s="18">
        <v>5911</v>
      </c>
      <c r="I984" t="s">
        <v>2336</v>
      </c>
    </row>
    <row r="985" spans="1:9" x14ac:dyDescent="0.25">
      <c r="A985" t="s">
        <v>1001</v>
      </c>
      <c r="B985" t="s">
        <v>2153</v>
      </c>
      <c r="C985" t="s">
        <v>413</v>
      </c>
      <c r="D985">
        <v>5999</v>
      </c>
      <c r="E985" s="9">
        <v>9999</v>
      </c>
      <c r="F985">
        <v>40</v>
      </c>
      <c r="G985">
        <v>4.2</v>
      </c>
      <c r="H985" s="18">
        <v>170</v>
      </c>
      <c r="I985" t="s">
        <v>2339</v>
      </c>
    </row>
    <row r="986" spans="1:9" x14ac:dyDescent="0.25">
      <c r="A986" t="s">
        <v>1002</v>
      </c>
      <c r="B986" t="s">
        <v>2154</v>
      </c>
      <c r="C986" t="s">
        <v>413</v>
      </c>
      <c r="D986">
        <v>8886</v>
      </c>
      <c r="E986" s="9">
        <v>11850</v>
      </c>
      <c r="F986">
        <v>25</v>
      </c>
      <c r="G986">
        <v>4.2</v>
      </c>
      <c r="H986" s="18">
        <v>3065</v>
      </c>
      <c r="I986" t="s">
        <v>2339</v>
      </c>
    </row>
    <row r="987" spans="1:9" x14ac:dyDescent="0.25">
      <c r="A987" t="s">
        <v>1003</v>
      </c>
      <c r="B987" t="s">
        <v>2155</v>
      </c>
      <c r="C987" t="s">
        <v>413</v>
      </c>
      <c r="D987">
        <v>475</v>
      </c>
      <c r="E987" s="9">
        <v>999</v>
      </c>
      <c r="F987">
        <v>52</v>
      </c>
      <c r="G987">
        <v>4.0999999999999996</v>
      </c>
      <c r="H987" s="18">
        <v>1021</v>
      </c>
      <c r="I987" t="s">
        <v>2336</v>
      </c>
    </row>
    <row r="988" spans="1:9" x14ac:dyDescent="0.25">
      <c r="A988" t="s">
        <v>1004</v>
      </c>
      <c r="B988" t="s">
        <v>2156</v>
      </c>
      <c r="C988" t="s">
        <v>413</v>
      </c>
      <c r="D988">
        <v>4995</v>
      </c>
      <c r="E988" s="9">
        <v>20049</v>
      </c>
      <c r="F988">
        <v>75</v>
      </c>
      <c r="G988">
        <v>4.8</v>
      </c>
      <c r="H988" s="18">
        <v>3964</v>
      </c>
      <c r="I988" t="s">
        <v>2339</v>
      </c>
    </row>
    <row r="989" spans="1:9" x14ac:dyDescent="0.25">
      <c r="A989" t="s">
        <v>1005</v>
      </c>
      <c r="B989" t="s">
        <v>2157</v>
      </c>
      <c r="C989" t="s">
        <v>413</v>
      </c>
      <c r="D989">
        <v>13999</v>
      </c>
      <c r="E989" s="9">
        <v>24850</v>
      </c>
      <c r="F989">
        <v>44</v>
      </c>
      <c r="G989">
        <v>4.4000000000000004</v>
      </c>
      <c r="H989" s="18">
        <v>8948</v>
      </c>
      <c r="I989" t="s">
        <v>2339</v>
      </c>
    </row>
    <row r="990" spans="1:9" x14ac:dyDescent="0.25">
      <c r="A990" t="s">
        <v>1006</v>
      </c>
      <c r="B990" t="s">
        <v>2158</v>
      </c>
      <c r="C990" t="s">
        <v>413</v>
      </c>
      <c r="D990">
        <v>8499</v>
      </c>
      <c r="E990" s="9">
        <v>16490</v>
      </c>
      <c r="F990">
        <v>48</v>
      </c>
      <c r="G990">
        <v>4.3</v>
      </c>
      <c r="H990" s="18">
        <v>97</v>
      </c>
      <c r="I990" t="s">
        <v>2339</v>
      </c>
    </row>
    <row r="991" spans="1:9" x14ac:dyDescent="0.25">
      <c r="A991" t="s">
        <v>1007</v>
      </c>
      <c r="B991" t="s">
        <v>2159</v>
      </c>
      <c r="C991" t="s">
        <v>413</v>
      </c>
      <c r="D991">
        <v>949</v>
      </c>
      <c r="E991" s="9">
        <v>975</v>
      </c>
      <c r="F991">
        <v>3</v>
      </c>
      <c r="G991">
        <v>4.3</v>
      </c>
      <c r="H991" s="18">
        <v>7223</v>
      </c>
      <c r="I991" t="s">
        <v>2336</v>
      </c>
    </row>
    <row r="992" spans="1:9" x14ac:dyDescent="0.25">
      <c r="A992" t="s">
        <v>1008</v>
      </c>
      <c r="B992" t="s">
        <v>2160</v>
      </c>
      <c r="C992" t="s">
        <v>413</v>
      </c>
      <c r="D992">
        <v>395</v>
      </c>
      <c r="E992" s="9">
        <v>499</v>
      </c>
      <c r="F992">
        <v>21</v>
      </c>
      <c r="G992">
        <v>4</v>
      </c>
      <c r="H992" s="18">
        <v>330</v>
      </c>
      <c r="I992" t="s">
        <v>2340</v>
      </c>
    </row>
    <row r="993" spans="1:9" x14ac:dyDescent="0.25">
      <c r="A993" t="s">
        <v>1009</v>
      </c>
      <c r="B993" t="s">
        <v>2161</v>
      </c>
      <c r="C993" t="s">
        <v>413</v>
      </c>
      <c r="D993">
        <v>635</v>
      </c>
      <c r="E993" s="9">
        <v>635</v>
      </c>
      <c r="F993">
        <v>0</v>
      </c>
      <c r="G993">
        <v>4.3</v>
      </c>
      <c r="H993" s="18">
        <v>4570</v>
      </c>
      <c r="I993" t="s">
        <v>2336</v>
      </c>
    </row>
    <row r="994" spans="1:9" x14ac:dyDescent="0.25">
      <c r="A994" t="s">
        <v>1010</v>
      </c>
      <c r="B994" t="s">
        <v>2162</v>
      </c>
      <c r="C994" t="s">
        <v>413</v>
      </c>
      <c r="D994">
        <v>717</v>
      </c>
      <c r="E994" s="9">
        <v>1390</v>
      </c>
      <c r="F994">
        <v>48</v>
      </c>
      <c r="G994">
        <v>4</v>
      </c>
      <c r="H994" s="18">
        <v>4867</v>
      </c>
      <c r="I994" t="s">
        <v>2336</v>
      </c>
    </row>
    <row r="995" spans="1:9" x14ac:dyDescent="0.25">
      <c r="A995" t="s">
        <v>1011</v>
      </c>
      <c r="B995" t="s">
        <v>2163</v>
      </c>
      <c r="C995" t="s">
        <v>413</v>
      </c>
      <c r="D995">
        <v>27900</v>
      </c>
      <c r="E995" s="9">
        <v>59900</v>
      </c>
      <c r="F995">
        <v>53</v>
      </c>
      <c r="G995">
        <v>4.4000000000000004</v>
      </c>
      <c r="H995" s="18">
        <v>5298</v>
      </c>
      <c r="I995" t="s">
        <v>2339</v>
      </c>
    </row>
    <row r="996" spans="1:9" x14ac:dyDescent="0.25">
      <c r="A996" t="s">
        <v>1012</v>
      </c>
      <c r="B996" t="s">
        <v>2164</v>
      </c>
      <c r="C996" t="s">
        <v>413</v>
      </c>
      <c r="D996">
        <v>649</v>
      </c>
      <c r="E996" s="9">
        <v>670</v>
      </c>
      <c r="F996">
        <v>3</v>
      </c>
      <c r="G996">
        <v>4.0999999999999996</v>
      </c>
      <c r="H996" s="18">
        <v>7786</v>
      </c>
      <c r="I996" t="s">
        <v>2336</v>
      </c>
    </row>
    <row r="997" spans="1:9" x14ac:dyDescent="0.25">
      <c r="A997" t="s">
        <v>1013</v>
      </c>
      <c r="B997" t="s">
        <v>2165</v>
      </c>
      <c r="C997" t="s">
        <v>413</v>
      </c>
      <c r="D997">
        <v>193</v>
      </c>
      <c r="E997" s="9">
        <v>399</v>
      </c>
      <c r="F997">
        <v>52</v>
      </c>
      <c r="G997">
        <v>3.6</v>
      </c>
      <c r="H997" s="18">
        <v>37</v>
      </c>
      <c r="I997" t="s">
        <v>2340</v>
      </c>
    </row>
    <row r="998" spans="1:9" x14ac:dyDescent="0.25">
      <c r="A998" t="s">
        <v>1014</v>
      </c>
      <c r="B998" t="s">
        <v>2166</v>
      </c>
      <c r="C998" t="s">
        <v>413</v>
      </c>
      <c r="D998">
        <v>1299</v>
      </c>
      <c r="E998" s="9">
        <v>2495</v>
      </c>
      <c r="F998">
        <v>48</v>
      </c>
      <c r="G998">
        <v>2</v>
      </c>
      <c r="H998" s="18">
        <v>2</v>
      </c>
      <c r="I998" t="s">
        <v>2339</v>
      </c>
    </row>
    <row r="999" spans="1:9" x14ac:dyDescent="0.25">
      <c r="A999" t="s">
        <v>1015</v>
      </c>
      <c r="B999" t="s">
        <v>2167</v>
      </c>
      <c r="C999" t="s">
        <v>413</v>
      </c>
      <c r="D999">
        <v>2449</v>
      </c>
      <c r="E999" s="9">
        <v>3390</v>
      </c>
      <c r="F999">
        <v>28</v>
      </c>
      <c r="G999">
        <v>4</v>
      </c>
      <c r="H999" s="18">
        <v>5206</v>
      </c>
      <c r="I999" t="s">
        <v>2339</v>
      </c>
    </row>
    <row r="1000" spans="1:9" x14ac:dyDescent="0.25">
      <c r="A1000" t="s">
        <v>1016</v>
      </c>
      <c r="B1000" t="s">
        <v>2168</v>
      </c>
      <c r="C1000" t="s">
        <v>413</v>
      </c>
      <c r="D1000">
        <v>1049</v>
      </c>
      <c r="E1000" s="9">
        <v>2499</v>
      </c>
      <c r="F1000">
        <v>58</v>
      </c>
      <c r="G1000">
        <v>3.7</v>
      </c>
      <c r="H1000" s="18">
        <v>638</v>
      </c>
      <c r="I1000" t="s">
        <v>2339</v>
      </c>
    </row>
    <row r="1001" spans="1:9" x14ac:dyDescent="0.25">
      <c r="A1001" t="s">
        <v>1017</v>
      </c>
      <c r="B1001" t="s">
        <v>2169</v>
      </c>
      <c r="C1001" t="s">
        <v>413</v>
      </c>
      <c r="D1001">
        <v>2399</v>
      </c>
      <c r="E1001" s="9">
        <v>4200</v>
      </c>
      <c r="F1001">
        <v>43</v>
      </c>
      <c r="G1001">
        <v>3.8</v>
      </c>
      <c r="H1001" s="18">
        <v>397</v>
      </c>
      <c r="I1001" t="s">
        <v>2339</v>
      </c>
    </row>
    <row r="1002" spans="1:9" x14ac:dyDescent="0.25">
      <c r="A1002" t="s">
        <v>1018</v>
      </c>
      <c r="B1002" t="s">
        <v>2170</v>
      </c>
      <c r="C1002" t="s">
        <v>413</v>
      </c>
      <c r="D1002">
        <v>2286</v>
      </c>
      <c r="E1002" s="9">
        <v>4495</v>
      </c>
      <c r="F1002">
        <v>49</v>
      </c>
      <c r="G1002">
        <v>3.9</v>
      </c>
      <c r="H1002" s="18">
        <v>326</v>
      </c>
      <c r="I1002" t="s">
        <v>2339</v>
      </c>
    </row>
    <row r="1003" spans="1:9" x14ac:dyDescent="0.25">
      <c r="A1003" t="s">
        <v>1019</v>
      </c>
      <c r="B1003" t="s">
        <v>2171</v>
      </c>
      <c r="C1003" t="s">
        <v>413</v>
      </c>
      <c r="D1003">
        <v>499</v>
      </c>
      <c r="E1003" s="9">
        <v>2199</v>
      </c>
      <c r="F1003">
        <v>77</v>
      </c>
      <c r="G1003">
        <v>3.1</v>
      </c>
      <c r="H1003" s="18">
        <v>3527</v>
      </c>
      <c r="I1003" t="s">
        <v>2339</v>
      </c>
    </row>
    <row r="1004" spans="1:9" x14ac:dyDescent="0.25">
      <c r="A1004" t="s">
        <v>1020</v>
      </c>
      <c r="B1004" t="s">
        <v>2172</v>
      </c>
      <c r="C1004" t="s">
        <v>413</v>
      </c>
      <c r="D1004">
        <v>429</v>
      </c>
      <c r="E1004" s="9">
        <v>999</v>
      </c>
      <c r="F1004">
        <v>57</v>
      </c>
      <c r="G1004">
        <v>3</v>
      </c>
      <c r="H1004" s="18">
        <v>617</v>
      </c>
      <c r="I1004" t="s">
        <v>2336</v>
      </c>
    </row>
    <row r="1005" spans="1:9" x14ac:dyDescent="0.25">
      <c r="A1005" t="s">
        <v>1021</v>
      </c>
      <c r="B1005" t="s">
        <v>2173</v>
      </c>
      <c r="C1005" t="s">
        <v>413</v>
      </c>
      <c r="D1005">
        <v>299</v>
      </c>
      <c r="E1005" s="9">
        <v>595</v>
      </c>
      <c r="F1005">
        <v>50</v>
      </c>
      <c r="G1005">
        <v>4</v>
      </c>
      <c r="H1005" s="18">
        <v>314</v>
      </c>
      <c r="I1005" t="s">
        <v>2336</v>
      </c>
    </row>
    <row r="1006" spans="1:9" x14ac:dyDescent="0.25">
      <c r="A1006" t="s">
        <v>1022</v>
      </c>
      <c r="B1006" t="s">
        <v>2174</v>
      </c>
      <c r="C1006" t="s">
        <v>413</v>
      </c>
      <c r="D1006">
        <v>5395</v>
      </c>
      <c r="E1006" s="9">
        <v>19990</v>
      </c>
      <c r="F1006">
        <v>73</v>
      </c>
      <c r="G1006">
        <v>4.4000000000000004</v>
      </c>
      <c r="H1006" s="18">
        <v>535</v>
      </c>
      <c r="I1006" t="s">
        <v>2339</v>
      </c>
    </row>
    <row r="1007" spans="1:9" x14ac:dyDescent="0.25">
      <c r="A1007" t="s">
        <v>1023</v>
      </c>
      <c r="B1007" t="s">
        <v>2175</v>
      </c>
      <c r="C1007" t="s">
        <v>413</v>
      </c>
      <c r="D1007">
        <v>559</v>
      </c>
      <c r="E1007" s="9">
        <v>1010</v>
      </c>
      <c r="F1007">
        <v>45</v>
      </c>
      <c r="G1007">
        <v>4.0999999999999996</v>
      </c>
      <c r="H1007" s="18">
        <v>17325</v>
      </c>
      <c r="I1007" t="s">
        <v>2336</v>
      </c>
    </row>
    <row r="1008" spans="1:9" x14ac:dyDescent="0.25">
      <c r="A1008" t="s">
        <v>1024</v>
      </c>
      <c r="B1008" t="s">
        <v>2176</v>
      </c>
      <c r="C1008" t="s">
        <v>413</v>
      </c>
      <c r="D1008">
        <v>660</v>
      </c>
      <c r="E1008" s="9">
        <v>1100</v>
      </c>
      <c r="F1008">
        <v>40</v>
      </c>
      <c r="G1008">
        <v>3.6</v>
      </c>
      <c r="H1008" s="18">
        <v>91</v>
      </c>
      <c r="I1008" t="s">
        <v>2336</v>
      </c>
    </row>
    <row r="1009" spans="1:9" x14ac:dyDescent="0.25">
      <c r="A1009" t="s">
        <v>1025</v>
      </c>
      <c r="B1009" t="s">
        <v>2177</v>
      </c>
      <c r="C1009" t="s">
        <v>413</v>
      </c>
      <c r="D1009">
        <v>419</v>
      </c>
      <c r="E1009" s="9">
        <v>999</v>
      </c>
      <c r="F1009">
        <v>58</v>
      </c>
      <c r="G1009">
        <v>4.4000000000000004</v>
      </c>
      <c r="H1009" s="18">
        <v>227</v>
      </c>
      <c r="I1009" t="s">
        <v>2336</v>
      </c>
    </row>
    <row r="1010" spans="1:9" x14ac:dyDescent="0.25">
      <c r="A1010" t="s">
        <v>1026</v>
      </c>
      <c r="B1010" t="s">
        <v>2178</v>
      </c>
      <c r="C1010" t="s">
        <v>413</v>
      </c>
      <c r="D1010">
        <v>7349</v>
      </c>
      <c r="E1010" s="9">
        <v>10900</v>
      </c>
      <c r="F1010">
        <v>33</v>
      </c>
      <c r="G1010">
        <v>4.2</v>
      </c>
      <c r="H1010" s="18">
        <v>11957</v>
      </c>
      <c r="I1010" t="s">
        <v>2339</v>
      </c>
    </row>
    <row r="1011" spans="1:9" x14ac:dyDescent="0.25">
      <c r="A1011" t="s">
        <v>1027</v>
      </c>
      <c r="B1011" t="s">
        <v>2179</v>
      </c>
      <c r="C1011" t="s">
        <v>413</v>
      </c>
      <c r="D1011">
        <v>2899</v>
      </c>
      <c r="E1011" s="9">
        <v>4005</v>
      </c>
      <c r="F1011">
        <v>28</v>
      </c>
      <c r="G1011">
        <v>4.3</v>
      </c>
      <c r="H1011" s="18">
        <v>7140</v>
      </c>
      <c r="I1011" t="s">
        <v>2339</v>
      </c>
    </row>
    <row r="1012" spans="1:9" x14ac:dyDescent="0.25">
      <c r="A1012" t="s">
        <v>1028</v>
      </c>
      <c r="B1012" t="s">
        <v>2180</v>
      </c>
      <c r="C1012" t="s">
        <v>413</v>
      </c>
      <c r="D1012">
        <v>1799</v>
      </c>
      <c r="E1012" s="9">
        <v>3295</v>
      </c>
      <c r="F1012">
        <v>45</v>
      </c>
      <c r="G1012">
        <v>3.8</v>
      </c>
      <c r="H1012" s="18">
        <v>687</v>
      </c>
      <c r="I1012" t="s">
        <v>2339</v>
      </c>
    </row>
    <row r="1013" spans="1:9" x14ac:dyDescent="0.25">
      <c r="A1013" t="s">
        <v>1029</v>
      </c>
      <c r="B1013" t="s">
        <v>2181</v>
      </c>
      <c r="C1013" t="s">
        <v>413</v>
      </c>
      <c r="D1013">
        <v>1474</v>
      </c>
      <c r="E1013" s="9">
        <v>4650</v>
      </c>
      <c r="F1013">
        <v>68</v>
      </c>
      <c r="G1013">
        <v>4.0999999999999996</v>
      </c>
      <c r="H1013" s="18">
        <v>1045</v>
      </c>
      <c r="I1013" t="s">
        <v>2339</v>
      </c>
    </row>
    <row r="1014" spans="1:9" x14ac:dyDescent="0.25">
      <c r="A1014" t="s">
        <v>1030</v>
      </c>
      <c r="B1014" t="s">
        <v>2182</v>
      </c>
      <c r="C1014" t="s">
        <v>413</v>
      </c>
      <c r="D1014">
        <v>15999</v>
      </c>
      <c r="E1014" s="9">
        <v>24500</v>
      </c>
      <c r="F1014">
        <v>35</v>
      </c>
      <c r="G1014">
        <v>4</v>
      </c>
      <c r="H1014" s="18">
        <v>11206</v>
      </c>
      <c r="I1014" t="s">
        <v>2339</v>
      </c>
    </row>
    <row r="1015" spans="1:9" x14ac:dyDescent="0.25">
      <c r="A1015" t="s">
        <v>1031</v>
      </c>
      <c r="B1015" t="s">
        <v>2183</v>
      </c>
      <c r="C1015" t="s">
        <v>413</v>
      </c>
      <c r="D1015">
        <v>3645</v>
      </c>
      <c r="E1015" s="9">
        <v>6070</v>
      </c>
      <c r="F1015">
        <v>40</v>
      </c>
      <c r="G1015">
        <v>4.2</v>
      </c>
      <c r="H1015" s="18">
        <v>561</v>
      </c>
      <c r="I1015" t="s">
        <v>2339</v>
      </c>
    </row>
    <row r="1016" spans="1:9" x14ac:dyDescent="0.25">
      <c r="A1016" t="s">
        <v>1032</v>
      </c>
      <c r="B1016" t="s">
        <v>2184</v>
      </c>
      <c r="C1016" t="s">
        <v>413</v>
      </c>
      <c r="D1016">
        <v>375</v>
      </c>
      <c r="E1016" s="9">
        <v>999</v>
      </c>
      <c r="F1016">
        <v>62</v>
      </c>
      <c r="G1016">
        <v>3.6</v>
      </c>
      <c r="H1016" s="18">
        <v>1988</v>
      </c>
      <c r="I1016" t="s">
        <v>2336</v>
      </c>
    </row>
    <row r="1017" spans="1:9" x14ac:dyDescent="0.25">
      <c r="A1017" t="s">
        <v>1033</v>
      </c>
      <c r="B1017" t="s">
        <v>2185</v>
      </c>
      <c r="C1017" t="s">
        <v>413</v>
      </c>
      <c r="D1017">
        <v>2976</v>
      </c>
      <c r="E1017" s="9">
        <v>3945</v>
      </c>
      <c r="F1017">
        <v>25</v>
      </c>
      <c r="G1017">
        <v>4.2</v>
      </c>
      <c r="H1017" s="18">
        <v>3740</v>
      </c>
      <c r="I1017" t="s">
        <v>2339</v>
      </c>
    </row>
    <row r="1018" spans="1:9" x14ac:dyDescent="0.25">
      <c r="A1018" t="s">
        <v>1034</v>
      </c>
      <c r="B1018" t="s">
        <v>2186</v>
      </c>
      <c r="C1018" t="s">
        <v>413</v>
      </c>
      <c r="D1018">
        <v>1099</v>
      </c>
      <c r="E1018" s="9">
        <v>1499</v>
      </c>
      <c r="F1018">
        <v>27</v>
      </c>
      <c r="G1018">
        <v>4.0999999999999996</v>
      </c>
      <c r="H1018" s="18">
        <v>4401</v>
      </c>
      <c r="I1018" t="s">
        <v>2336</v>
      </c>
    </row>
    <row r="1019" spans="1:9" x14ac:dyDescent="0.25">
      <c r="A1019" t="s">
        <v>1035</v>
      </c>
      <c r="B1019" t="s">
        <v>2187</v>
      </c>
      <c r="C1019" t="s">
        <v>413</v>
      </c>
      <c r="D1019">
        <v>2575</v>
      </c>
      <c r="E1019" s="9">
        <v>6700</v>
      </c>
      <c r="F1019">
        <v>62</v>
      </c>
      <c r="G1019">
        <v>4.2</v>
      </c>
      <c r="H1019" s="18">
        <v>611</v>
      </c>
      <c r="I1019" t="s">
        <v>2339</v>
      </c>
    </row>
    <row r="1020" spans="1:9" x14ac:dyDescent="0.25">
      <c r="A1020" t="s">
        <v>1036</v>
      </c>
      <c r="B1020" t="s">
        <v>2188</v>
      </c>
      <c r="C1020" t="s">
        <v>413</v>
      </c>
      <c r="D1020">
        <v>1649</v>
      </c>
      <c r="E1020" s="9">
        <v>2800</v>
      </c>
      <c r="F1020">
        <v>41</v>
      </c>
      <c r="G1020">
        <v>3.9</v>
      </c>
      <c r="H1020" s="18">
        <v>2162</v>
      </c>
      <c r="I1020" t="s">
        <v>2339</v>
      </c>
    </row>
    <row r="1021" spans="1:9" x14ac:dyDescent="0.25">
      <c r="A1021" t="s">
        <v>1037</v>
      </c>
      <c r="B1021" t="s">
        <v>2189</v>
      </c>
      <c r="C1021" t="s">
        <v>413</v>
      </c>
      <c r="D1021">
        <v>799</v>
      </c>
      <c r="E1021" s="9">
        <v>1699</v>
      </c>
      <c r="F1021">
        <v>53</v>
      </c>
      <c r="G1021">
        <v>4</v>
      </c>
      <c r="H1021" s="18">
        <v>97</v>
      </c>
      <c r="I1021" t="s">
        <v>2336</v>
      </c>
    </row>
    <row r="1022" spans="1:9" x14ac:dyDescent="0.25">
      <c r="A1022" t="s">
        <v>1038</v>
      </c>
      <c r="B1022" t="s">
        <v>2190</v>
      </c>
      <c r="C1022" t="s">
        <v>413</v>
      </c>
      <c r="D1022">
        <v>765</v>
      </c>
      <c r="E1022" s="9">
        <v>970</v>
      </c>
      <c r="F1022">
        <v>21</v>
      </c>
      <c r="G1022">
        <v>4.2</v>
      </c>
      <c r="H1022" s="18">
        <v>6055</v>
      </c>
      <c r="I1022" t="s">
        <v>2336</v>
      </c>
    </row>
    <row r="1023" spans="1:9" x14ac:dyDescent="0.25">
      <c r="A1023" t="s">
        <v>1039</v>
      </c>
      <c r="B1023" t="s">
        <v>2191</v>
      </c>
      <c r="C1023" t="s">
        <v>413</v>
      </c>
      <c r="D1023">
        <v>999</v>
      </c>
      <c r="E1023" s="9">
        <v>1500</v>
      </c>
      <c r="F1023">
        <v>33</v>
      </c>
      <c r="G1023">
        <v>4.2</v>
      </c>
      <c r="H1023" s="18">
        <v>386</v>
      </c>
      <c r="I1023" t="s">
        <v>2336</v>
      </c>
    </row>
    <row r="1024" spans="1:9" x14ac:dyDescent="0.25">
      <c r="A1024" t="s">
        <v>1040</v>
      </c>
      <c r="B1024" t="s">
        <v>2192</v>
      </c>
      <c r="C1024" t="s">
        <v>413</v>
      </c>
      <c r="D1024">
        <v>587</v>
      </c>
      <c r="E1024" s="9">
        <v>1295</v>
      </c>
      <c r="F1024">
        <v>55</v>
      </c>
      <c r="G1024">
        <v>4.0999999999999996</v>
      </c>
      <c r="H1024" s="18">
        <v>557</v>
      </c>
      <c r="I1024" t="s">
        <v>2336</v>
      </c>
    </row>
    <row r="1025" spans="1:9" x14ac:dyDescent="0.25">
      <c r="A1025" t="s">
        <v>1041</v>
      </c>
      <c r="B1025" t="s">
        <v>2193</v>
      </c>
      <c r="C1025" t="s">
        <v>413</v>
      </c>
      <c r="D1025">
        <v>12609</v>
      </c>
      <c r="E1025" s="9">
        <v>23999</v>
      </c>
      <c r="F1025">
        <v>47</v>
      </c>
      <c r="G1025">
        <v>4.4000000000000004</v>
      </c>
      <c r="H1025" s="18">
        <v>2288</v>
      </c>
      <c r="I1025" t="s">
        <v>2339</v>
      </c>
    </row>
    <row r="1026" spans="1:9" x14ac:dyDescent="0.25">
      <c r="A1026" t="s">
        <v>1042</v>
      </c>
      <c r="B1026" t="s">
        <v>2194</v>
      </c>
      <c r="C1026" t="s">
        <v>413</v>
      </c>
      <c r="D1026">
        <v>699</v>
      </c>
      <c r="E1026" s="9">
        <v>850</v>
      </c>
      <c r="F1026">
        <v>18</v>
      </c>
      <c r="G1026">
        <v>4.0999999999999996</v>
      </c>
      <c r="H1026" s="18">
        <v>1106</v>
      </c>
      <c r="I1026" t="s">
        <v>2336</v>
      </c>
    </row>
    <row r="1027" spans="1:9" x14ac:dyDescent="0.25">
      <c r="A1027" t="s">
        <v>1043</v>
      </c>
      <c r="B1027" t="s">
        <v>2195</v>
      </c>
      <c r="C1027" t="s">
        <v>413</v>
      </c>
      <c r="D1027">
        <v>3799</v>
      </c>
      <c r="E1027" s="9">
        <v>6000</v>
      </c>
      <c r="F1027">
        <v>37</v>
      </c>
      <c r="G1027">
        <v>4.2</v>
      </c>
      <c r="H1027" s="18">
        <v>11935</v>
      </c>
      <c r="I1027" t="s">
        <v>2339</v>
      </c>
    </row>
    <row r="1028" spans="1:9" x14ac:dyDescent="0.25">
      <c r="A1028" t="s">
        <v>1044</v>
      </c>
      <c r="B1028" t="s">
        <v>2196</v>
      </c>
      <c r="C1028" t="s">
        <v>413</v>
      </c>
      <c r="D1028">
        <v>640</v>
      </c>
      <c r="E1028" s="9">
        <v>1020</v>
      </c>
      <c r="F1028">
        <v>37</v>
      </c>
      <c r="G1028">
        <v>4.0999999999999996</v>
      </c>
      <c r="H1028" s="18">
        <v>5059</v>
      </c>
      <c r="I1028" t="s">
        <v>2336</v>
      </c>
    </row>
    <row r="1029" spans="1:9" x14ac:dyDescent="0.25">
      <c r="A1029" t="s">
        <v>1045</v>
      </c>
      <c r="B1029" t="s">
        <v>2197</v>
      </c>
      <c r="C1029" t="s">
        <v>413</v>
      </c>
      <c r="D1029">
        <v>979</v>
      </c>
      <c r="E1029" s="9">
        <v>1999</v>
      </c>
      <c r="F1029">
        <v>51</v>
      </c>
      <c r="G1029">
        <v>3.9</v>
      </c>
      <c r="H1029" s="18">
        <v>157</v>
      </c>
      <c r="I1029" t="s">
        <v>2336</v>
      </c>
    </row>
    <row r="1030" spans="1:9" x14ac:dyDescent="0.25">
      <c r="A1030" t="s">
        <v>1046</v>
      </c>
      <c r="B1030" t="s">
        <v>2198</v>
      </c>
      <c r="C1030" t="s">
        <v>413</v>
      </c>
      <c r="D1030">
        <v>5365</v>
      </c>
      <c r="E1030" s="9">
        <v>7445</v>
      </c>
      <c r="F1030">
        <v>28</v>
      </c>
      <c r="G1030">
        <v>3.9</v>
      </c>
      <c r="H1030" s="18">
        <v>3584</v>
      </c>
      <c r="I1030" t="s">
        <v>2339</v>
      </c>
    </row>
    <row r="1031" spans="1:9" x14ac:dyDescent="0.25">
      <c r="A1031" t="s">
        <v>1047</v>
      </c>
      <c r="B1031" t="s">
        <v>2199</v>
      </c>
      <c r="C1031" t="s">
        <v>413</v>
      </c>
      <c r="D1031">
        <v>3199</v>
      </c>
      <c r="E1031" s="9">
        <v>3500</v>
      </c>
      <c r="F1031">
        <v>9</v>
      </c>
      <c r="G1031">
        <v>4.2</v>
      </c>
      <c r="H1031" s="18">
        <v>1899</v>
      </c>
      <c r="I1031" t="s">
        <v>2339</v>
      </c>
    </row>
    <row r="1032" spans="1:9" x14ac:dyDescent="0.25">
      <c r="A1032" t="s">
        <v>1048</v>
      </c>
      <c r="B1032" t="s">
        <v>2200</v>
      </c>
      <c r="C1032" t="s">
        <v>413</v>
      </c>
      <c r="D1032">
        <v>979</v>
      </c>
      <c r="E1032" s="9">
        <v>1395</v>
      </c>
      <c r="F1032">
        <v>30</v>
      </c>
      <c r="G1032">
        <v>4.2</v>
      </c>
      <c r="H1032" s="18">
        <v>15252</v>
      </c>
      <c r="I1032" t="s">
        <v>2336</v>
      </c>
    </row>
    <row r="1033" spans="1:9" x14ac:dyDescent="0.25">
      <c r="A1033" t="s">
        <v>1049</v>
      </c>
      <c r="B1033" t="s">
        <v>2201</v>
      </c>
      <c r="C1033" t="s">
        <v>413</v>
      </c>
      <c r="D1033">
        <v>929</v>
      </c>
      <c r="E1033" s="9">
        <v>2199</v>
      </c>
      <c r="F1033">
        <v>58</v>
      </c>
      <c r="G1033">
        <v>3.7</v>
      </c>
      <c r="H1033" s="18">
        <v>4</v>
      </c>
      <c r="I1033" t="s">
        <v>2339</v>
      </c>
    </row>
    <row r="1034" spans="1:9" x14ac:dyDescent="0.25">
      <c r="A1034" t="s">
        <v>1050</v>
      </c>
      <c r="B1034" t="s">
        <v>2202</v>
      </c>
      <c r="C1034" t="s">
        <v>413</v>
      </c>
      <c r="D1034">
        <v>3710</v>
      </c>
      <c r="E1034" s="9">
        <v>4330</v>
      </c>
      <c r="F1034">
        <v>14</v>
      </c>
      <c r="G1034">
        <v>3.7</v>
      </c>
      <c r="H1034" s="18">
        <v>1662</v>
      </c>
      <c r="I1034" t="s">
        <v>2339</v>
      </c>
    </row>
    <row r="1035" spans="1:9" x14ac:dyDescent="0.25">
      <c r="A1035" t="s">
        <v>1051</v>
      </c>
      <c r="B1035" t="s">
        <v>2203</v>
      </c>
      <c r="C1035" t="s">
        <v>413</v>
      </c>
      <c r="D1035">
        <v>2033</v>
      </c>
      <c r="E1035" s="9">
        <v>4295</v>
      </c>
      <c r="F1035">
        <v>53</v>
      </c>
      <c r="G1035">
        <v>3.4</v>
      </c>
      <c r="H1035" s="18">
        <v>422</v>
      </c>
      <c r="I1035" t="s">
        <v>2339</v>
      </c>
    </row>
    <row r="1036" spans="1:9" x14ac:dyDescent="0.25">
      <c r="A1036" t="s">
        <v>1052</v>
      </c>
      <c r="B1036" t="s">
        <v>2204</v>
      </c>
      <c r="C1036" t="s">
        <v>413</v>
      </c>
      <c r="D1036">
        <v>9495</v>
      </c>
      <c r="E1036" s="9">
        <v>18990</v>
      </c>
      <c r="F1036">
        <v>50</v>
      </c>
      <c r="G1036">
        <v>4.2</v>
      </c>
      <c r="H1036" s="18">
        <v>79</v>
      </c>
      <c r="I1036" t="s">
        <v>2339</v>
      </c>
    </row>
    <row r="1037" spans="1:9" x14ac:dyDescent="0.25">
      <c r="A1037" t="s">
        <v>1053</v>
      </c>
      <c r="B1037" t="s">
        <v>2205</v>
      </c>
      <c r="C1037" t="s">
        <v>413</v>
      </c>
      <c r="D1037">
        <v>7799</v>
      </c>
      <c r="E1037" s="9">
        <v>12500</v>
      </c>
      <c r="F1037">
        <v>38</v>
      </c>
      <c r="G1037">
        <v>4</v>
      </c>
      <c r="H1037" s="18">
        <v>5160</v>
      </c>
      <c r="I1037" t="s">
        <v>2339</v>
      </c>
    </row>
    <row r="1038" spans="1:9" x14ac:dyDescent="0.25">
      <c r="A1038" t="s">
        <v>1054</v>
      </c>
      <c r="B1038" t="s">
        <v>2206</v>
      </c>
      <c r="C1038" t="s">
        <v>413</v>
      </c>
      <c r="D1038">
        <v>949</v>
      </c>
      <c r="E1038" s="9">
        <v>2385</v>
      </c>
      <c r="F1038">
        <v>60</v>
      </c>
      <c r="G1038">
        <v>4.0999999999999996</v>
      </c>
      <c r="H1038" s="18">
        <v>2311</v>
      </c>
      <c r="I1038" t="s">
        <v>2339</v>
      </c>
    </row>
    <row r="1039" spans="1:9" x14ac:dyDescent="0.25">
      <c r="A1039" t="s">
        <v>1055</v>
      </c>
      <c r="B1039" t="s">
        <v>2207</v>
      </c>
      <c r="C1039" t="s">
        <v>413</v>
      </c>
      <c r="D1039">
        <v>2790</v>
      </c>
      <c r="E1039" s="9">
        <v>4890</v>
      </c>
      <c r="F1039">
        <v>43</v>
      </c>
      <c r="G1039">
        <v>3.9</v>
      </c>
      <c r="H1039" s="18">
        <v>588</v>
      </c>
      <c r="I1039" t="s">
        <v>2339</v>
      </c>
    </row>
    <row r="1040" spans="1:9" x14ac:dyDescent="0.25">
      <c r="A1040" t="s">
        <v>1056</v>
      </c>
      <c r="B1040" t="s">
        <v>2208</v>
      </c>
      <c r="C1040" t="s">
        <v>413</v>
      </c>
      <c r="D1040">
        <v>645</v>
      </c>
      <c r="E1040" s="9">
        <v>1100</v>
      </c>
      <c r="F1040">
        <v>41</v>
      </c>
      <c r="G1040">
        <v>4</v>
      </c>
      <c r="H1040" s="18">
        <v>3271</v>
      </c>
      <c r="I1040" t="s">
        <v>2336</v>
      </c>
    </row>
    <row r="1041" spans="1:9" x14ac:dyDescent="0.25">
      <c r="A1041" t="s">
        <v>1057</v>
      </c>
      <c r="B1041" t="s">
        <v>2209</v>
      </c>
      <c r="C1041" t="s">
        <v>413</v>
      </c>
      <c r="D1041">
        <v>223781</v>
      </c>
      <c r="E1041" s="9">
        <v>3899</v>
      </c>
      <c r="F1041">
        <v>43</v>
      </c>
      <c r="G1041">
        <v>3.9</v>
      </c>
      <c r="H1041" s="18">
        <v>11004</v>
      </c>
      <c r="I1041" t="s">
        <v>2339</v>
      </c>
    </row>
    <row r="1042" spans="1:9" x14ac:dyDescent="0.25">
      <c r="A1042" t="s">
        <v>1058</v>
      </c>
      <c r="B1042" t="s">
        <v>2210</v>
      </c>
      <c r="C1042" t="s">
        <v>413</v>
      </c>
      <c r="D1042">
        <v>8699</v>
      </c>
      <c r="E1042" s="9">
        <v>16899</v>
      </c>
      <c r="F1042">
        <v>49</v>
      </c>
      <c r="G1042">
        <v>4.2</v>
      </c>
      <c r="H1042" s="18">
        <v>3195</v>
      </c>
      <c r="I1042" t="s">
        <v>2339</v>
      </c>
    </row>
    <row r="1043" spans="1:9" x14ac:dyDescent="0.25">
      <c r="A1043" t="s">
        <v>1059</v>
      </c>
      <c r="B1043" t="s">
        <v>2211</v>
      </c>
      <c r="C1043" t="s">
        <v>413</v>
      </c>
      <c r="D1043">
        <v>42990</v>
      </c>
      <c r="E1043" s="9">
        <v>75990</v>
      </c>
      <c r="F1043">
        <v>43</v>
      </c>
      <c r="G1043">
        <v>4.3</v>
      </c>
      <c r="H1043" s="18">
        <v>3231</v>
      </c>
      <c r="I1043" t="s">
        <v>2339</v>
      </c>
    </row>
    <row r="1044" spans="1:9" x14ac:dyDescent="0.25">
      <c r="A1044" t="s">
        <v>1060</v>
      </c>
      <c r="B1044" t="s">
        <v>2212</v>
      </c>
      <c r="C1044" t="s">
        <v>413</v>
      </c>
      <c r="D1044">
        <v>825</v>
      </c>
      <c r="E1044" s="9">
        <v>825</v>
      </c>
      <c r="F1044">
        <v>0</v>
      </c>
      <c r="G1044">
        <v>4</v>
      </c>
      <c r="H1044" s="18">
        <v>3246</v>
      </c>
      <c r="I1044" t="s">
        <v>2336</v>
      </c>
    </row>
    <row r="1045" spans="1:9" x14ac:dyDescent="0.25">
      <c r="A1045" t="s">
        <v>1061</v>
      </c>
      <c r="B1045" t="s">
        <v>2213</v>
      </c>
      <c r="C1045" t="s">
        <v>413</v>
      </c>
      <c r="D1045">
        <v>161</v>
      </c>
      <c r="E1045" s="9">
        <v>300</v>
      </c>
      <c r="F1045">
        <v>46</v>
      </c>
      <c r="G1045">
        <v>2.6</v>
      </c>
      <c r="H1045" s="18">
        <v>24</v>
      </c>
      <c r="I1045" t="s">
        <v>2340</v>
      </c>
    </row>
    <row r="1046" spans="1:9" x14ac:dyDescent="0.25">
      <c r="A1046" t="s">
        <v>1062</v>
      </c>
      <c r="B1046" t="s">
        <v>2214</v>
      </c>
      <c r="C1046" t="s">
        <v>413</v>
      </c>
      <c r="D1046">
        <v>697</v>
      </c>
      <c r="E1046" s="9">
        <v>1499</v>
      </c>
      <c r="F1046">
        <v>54</v>
      </c>
      <c r="G1046">
        <v>3.8</v>
      </c>
      <c r="H1046" s="18">
        <v>144</v>
      </c>
      <c r="I1046" t="s">
        <v>2336</v>
      </c>
    </row>
    <row r="1047" spans="1:9" x14ac:dyDescent="0.25">
      <c r="A1047" t="s">
        <v>1063</v>
      </c>
      <c r="B1047" t="s">
        <v>2215</v>
      </c>
      <c r="C1047" t="s">
        <v>413</v>
      </c>
      <c r="D1047">
        <v>688</v>
      </c>
      <c r="E1047" s="9">
        <v>747</v>
      </c>
      <c r="F1047">
        <v>8</v>
      </c>
      <c r="G1047">
        <v>4.5</v>
      </c>
      <c r="H1047" s="18">
        <v>2280</v>
      </c>
      <c r="I1047" t="s">
        <v>2336</v>
      </c>
    </row>
    <row r="1048" spans="1:9" x14ac:dyDescent="0.25">
      <c r="A1048" t="s">
        <v>1064</v>
      </c>
      <c r="B1048" t="s">
        <v>2216</v>
      </c>
      <c r="C1048" t="s">
        <v>413</v>
      </c>
      <c r="D1048">
        <v>2199</v>
      </c>
      <c r="E1048" s="9">
        <v>3999</v>
      </c>
      <c r="F1048">
        <v>45</v>
      </c>
      <c r="G1048">
        <v>3.5</v>
      </c>
      <c r="H1048" s="18">
        <v>340</v>
      </c>
      <c r="I1048" t="s">
        <v>2339</v>
      </c>
    </row>
    <row r="1049" spans="1:9" x14ac:dyDescent="0.25">
      <c r="A1049" t="s">
        <v>1065</v>
      </c>
      <c r="B1049" t="s">
        <v>2217</v>
      </c>
      <c r="C1049" t="s">
        <v>413</v>
      </c>
      <c r="D1049">
        <v>6850</v>
      </c>
      <c r="E1049" s="9">
        <v>11990</v>
      </c>
      <c r="F1049">
        <v>43</v>
      </c>
      <c r="G1049">
        <v>3.9</v>
      </c>
      <c r="H1049" s="18">
        <v>144</v>
      </c>
      <c r="I1049" t="s">
        <v>2339</v>
      </c>
    </row>
    <row r="1050" spans="1:9" x14ac:dyDescent="0.25">
      <c r="A1050" t="s">
        <v>1066</v>
      </c>
      <c r="B1050" t="s">
        <v>2218</v>
      </c>
      <c r="C1050" t="s">
        <v>413</v>
      </c>
      <c r="D1050">
        <v>2699</v>
      </c>
      <c r="E1050" s="9">
        <v>3799</v>
      </c>
      <c r="F1050">
        <v>29</v>
      </c>
      <c r="G1050">
        <v>4</v>
      </c>
      <c r="H1050" s="18">
        <v>727</v>
      </c>
      <c r="I1050" t="s">
        <v>2339</v>
      </c>
    </row>
    <row r="1051" spans="1:9" x14ac:dyDescent="0.25">
      <c r="A1051" t="s">
        <v>1067</v>
      </c>
      <c r="B1051" t="s">
        <v>2219</v>
      </c>
      <c r="C1051" t="s">
        <v>413</v>
      </c>
      <c r="D1051">
        <v>899</v>
      </c>
      <c r="E1051" s="9">
        <v>1999</v>
      </c>
      <c r="F1051">
        <v>55</v>
      </c>
      <c r="G1051">
        <v>4</v>
      </c>
      <c r="H1051" s="18">
        <v>832</v>
      </c>
      <c r="I1051" t="s">
        <v>2336</v>
      </c>
    </row>
    <row r="1052" spans="1:9" x14ac:dyDescent="0.25">
      <c r="A1052" t="s">
        <v>1068</v>
      </c>
      <c r="B1052" t="s">
        <v>2220</v>
      </c>
      <c r="C1052" t="s">
        <v>413</v>
      </c>
      <c r="D1052">
        <v>1090</v>
      </c>
      <c r="E1052" s="9">
        <v>2999</v>
      </c>
      <c r="F1052">
        <v>64</v>
      </c>
      <c r="G1052">
        <v>3.5</v>
      </c>
      <c r="H1052" s="18">
        <v>57</v>
      </c>
      <c r="I1052" t="s">
        <v>2339</v>
      </c>
    </row>
    <row r="1053" spans="1:9" x14ac:dyDescent="0.25">
      <c r="A1053" t="s">
        <v>1069</v>
      </c>
      <c r="B1053" t="s">
        <v>2221</v>
      </c>
      <c r="C1053" t="s">
        <v>413</v>
      </c>
      <c r="D1053">
        <v>295</v>
      </c>
      <c r="E1053" s="9">
        <v>599</v>
      </c>
      <c r="F1053">
        <v>51</v>
      </c>
      <c r="G1053">
        <v>4</v>
      </c>
      <c r="H1053" s="18">
        <v>1644</v>
      </c>
      <c r="I1053" t="s">
        <v>2336</v>
      </c>
    </row>
    <row r="1054" spans="1:9" x14ac:dyDescent="0.25">
      <c r="A1054" t="s">
        <v>1070</v>
      </c>
      <c r="B1054" t="s">
        <v>2222</v>
      </c>
      <c r="C1054" t="s">
        <v>413</v>
      </c>
      <c r="D1054">
        <v>479</v>
      </c>
      <c r="E1054" s="9">
        <v>1999</v>
      </c>
      <c r="F1054">
        <v>76</v>
      </c>
      <c r="G1054">
        <v>3.4</v>
      </c>
      <c r="H1054" s="18">
        <v>1066</v>
      </c>
      <c r="I1054" t="s">
        <v>2336</v>
      </c>
    </row>
    <row r="1055" spans="1:9" x14ac:dyDescent="0.25">
      <c r="A1055" t="s">
        <v>1071</v>
      </c>
      <c r="B1055" t="s">
        <v>2223</v>
      </c>
      <c r="C1055" t="s">
        <v>413</v>
      </c>
      <c r="D1055">
        <v>2949</v>
      </c>
      <c r="E1055" s="9">
        <v>4849</v>
      </c>
      <c r="F1055">
        <v>39</v>
      </c>
      <c r="G1055">
        <v>4.2</v>
      </c>
      <c r="H1055" s="18">
        <v>7968</v>
      </c>
      <c r="I1055" t="s">
        <v>2339</v>
      </c>
    </row>
    <row r="1056" spans="1:9" x14ac:dyDescent="0.25">
      <c r="A1056" t="s">
        <v>1072</v>
      </c>
      <c r="B1056" t="s">
        <v>2224</v>
      </c>
      <c r="C1056" t="s">
        <v>413</v>
      </c>
      <c r="D1056">
        <v>335</v>
      </c>
      <c r="E1056" s="9">
        <v>510</v>
      </c>
      <c r="F1056">
        <v>34</v>
      </c>
      <c r="G1056">
        <v>3.8</v>
      </c>
      <c r="H1056" s="18">
        <v>3195</v>
      </c>
      <c r="I1056" t="s">
        <v>2336</v>
      </c>
    </row>
    <row r="1057" spans="1:9" x14ac:dyDescent="0.25">
      <c r="A1057" t="s">
        <v>1073</v>
      </c>
      <c r="B1057" t="s">
        <v>2225</v>
      </c>
      <c r="C1057" t="s">
        <v>413</v>
      </c>
      <c r="D1057">
        <v>293</v>
      </c>
      <c r="E1057" s="9">
        <v>499</v>
      </c>
      <c r="F1057">
        <v>41</v>
      </c>
      <c r="G1057">
        <v>4.0999999999999996</v>
      </c>
      <c r="H1057" s="18">
        <v>1456</v>
      </c>
      <c r="I1057" t="s">
        <v>2340</v>
      </c>
    </row>
    <row r="1058" spans="1:9" x14ac:dyDescent="0.25">
      <c r="A1058" t="s">
        <v>1074</v>
      </c>
      <c r="B1058" t="s">
        <v>2226</v>
      </c>
      <c r="C1058" t="s">
        <v>413</v>
      </c>
      <c r="D1058">
        <v>599</v>
      </c>
      <c r="E1058" s="9">
        <v>1299</v>
      </c>
      <c r="F1058">
        <v>54</v>
      </c>
      <c r="G1058">
        <v>4.2</v>
      </c>
      <c r="H1058" s="18">
        <v>590</v>
      </c>
      <c r="I1058" t="s">
        <v>2336</v>
      </c>
    </row>
    <row r="1059" spans="1:9" x14ac:dyDescent="0.25">
      <c r="A1059" t="s">
        <v>1075</v>
      </c>
      <c r="B1059" t="s">
        <v>2227</v>
      </c>
      <c r="C1059" t="s">
        <v>413</v>
      </c>
      <c r="D1059">
        <v>499</v>
      </c>
      <c r="E1059" s="9">
        <v>999</v>
      </c>
      <c r="F1059">
        <v>50</v>
      </c>
      <c r="G1059">
        <v>4.3</v>
      </c>
      <c r="H1059" s="18">
        <v>1436</v>
      </c>
      <c r="I1059" t="s">
        <v>2336</v>
      </c>
    </row>
    <row r="1060" spans="1:9" x14ac:dyDescent="0.25">
      <c r="A1060" t="s">
        <v>1076</v>
      </c>
      <c r="B1060" t="s">
        <v>2228</v>
      </c>
      <c r="C1060" t="s">
        <v>413</v>
      </c>
      <c r="D1060">
        <v>849</v>
      </c>
      <c r="E1060" s="9">
        <v>1190</v>
      </c>
      <c r="F1060">
        <v>29</v>
      </c>
      <c r="G1060">
        <v>4.2</v>
      </c>
      <c r="H1060" s="18">
        <v>4184</v>
      </c>
      <c r="I1060" t="s">
        <v>2336</v>
      </c>
    </row>
    <row r="1061" spans="1:9" x14ac:dyDescent="0.25">
      <c r="A1061" t="s">
        <v>1077</v>
      </c>
      <c r="B1061" t="s">
        <v>2229</v>
      </c>
      <c r="C1061" t="s">
        <v>413</v>
      </c>
      <c r="D1061">
        <v>249</v>
      </c>
      <c r="E1061" s="9">
        <v>400</v>
      </c>
      <c r="F1061">
        <v>38</v>
      </c>
      <c r="G1061">
        <v>4.0999999999999996</v>
      </c>
      <c r="H1061" s="18">
        <v>693</v>
      </c>
      <c r="I1061" t="s">
        <v>2340</v>
      </c>
    </row>
    <row r="1062" spans="1:9" x14ac:dyDescent="0.25">
      <c r="A1062" t="s">
        <v>1078</v>
      </c>
      <c r="B1062" t="s">
        <v>2230</v>
      </c>
      <c r="C1062" t="s">
        <v>413</v>
      </c>
      <c r="D1062">
        <v>185</v>
      </c>
      <c r="E1062" s="9">
        <v>599</v>
      </c>
      <c r="F1062">
        <v>69</v>
      </c>
      <c r="G1062">
        <v>3.9</v>
      </c>
      <c r="H1062" s="18">
        <v>1306</v>
      </c>
      <c r="I1062" t="s">
        <v>2336</v>
      </c>
    </row>
    <row r="1063" spans="1:9" x14ac:dyDescent="0.25">
      <c r="A1063" t="s">
        <v>1079</v>
      </c>
      <c r="B1063" t="s">
        <v>2231</v>
      </c>
      <c r="C1063" t="s">
        <v>413</v>
      </c>
      <c r="D1063">
        <v>778</v>
      </c>
      <c r="E1063" s="9">
        <v>999</v>
      </c>
      <c r="F1063">
        <v>22</v>
      </c>
      <c r="G1063">
        <v>3.3</v>
      </c>
      <c r="H1063" s="18">
        <v>8</v>
      </c>
      <c r="I1063" t="s">
        <v>2336</v>
      </c>
    </row>
    <row r="1064" spans="1:9" x14ac:dyDescent="0.25">
      <c r="A1064" t="s">
        <v>1080</v>
      </c>
      <c r="B1064" t="s">
        <v>2232</v>
      </c>
      <c r="C1064" t="s">
        <v>413</v>
      </c>
      <c r="D1064">
        <v>279</v>
      </c>
      <c r="E1064" s="9">
        <v>699</v>
      </c>
      <c r="F1064">
        <v>60</v>
      </c>
      <c r="G1064">
        <v>4.3</v>
      </c>
      <c r="H1064" s="18">
        <v>2326</v>
      </c>
      <c r="I1064" t="s">
        <v>2336</v>
      </c>
    </row>
    <row r="1065" spans="1:9" x14ac:dyDescent="0.25">
      <c r="A1065" t="s">
        <v>1081</v>
      </c>
      <c r="B1065" t="s">
        <v>2233</v>
      </c>
      <c r="C1065" t="s">
        <v>413</v>
      </c>
      <c r="D1065">
        <v>215</v>
      </c>
      <c r="E1065" s="9">
        <v>1499</v>
      </c>
      <c r="F1065">
        <v>86</v>
      </c>
      <c r="G1065">
        <v>3.9</v>
      </c>
      <c r="H1065" s="18">
        <v>1004</v>
      </c>
      <c r="I1065" t="s">
        <v>2336</v>
      </c>
    </row>
    <row r="1066" spans="1:9" x14ac:dyDescent="0.25">
      <c r="A1066" t="s">
        <v>1082</v>
      </c>
      <c r="B1066" t="s">
        <v>2234</v>
      </c>
      <c r="C1066" t="s">
        <v>413</v>
      </c>
      <c r="D1066">
        <v>889</v>
      </c>
      <c r="E1066" s="9">
        <v>1295</v>
      </c>
      <c r="F1066">
        <v>31</v>
      </c>
      <c r="G1066">
        <v>4.3</v>
      </c>
      <c r="H1066" s="18">
        <v>6400</v>
      </c>
      <c r="I1066" t="s">
        <v>2336</v>
      </c>
    </row>
    <row r="1067" spans="1:9" x14ac:dyDescent="0.25">
      <c r="A1067" t="s">
        <v>1083</v>
      </c>
      <c r="B1067" t="s">
        <v>2235</v>
      </c>
      <c r="C1067" t="s">
        <v>413</v>
      </c>
      <c r="D1067">
        <v>1449</v>
      </c>
      <c r="E1067" s="9">
        <v>4999</v>
      </c>
      <c r="F1067">
        <v>71</v>
      </c>
      <c r="G1067">
        <v>3.6</v>
      </c>
      <c r="H1067" s="18">
        <v>63</v>
      </c>
      <c r="I1067" t="s">
        <v>2339</v>
      </c>
    </row>
    <row r="1068" spans="1:9" x14ac:dyDescent="0.25">
      <c r="A1068" t="s">
        <v>1084</v>
      </c>
      <c r="B1068" t="s">
        <v>2236</v>
      </c>
      <c r="C1068" t="s">
        <v>413</v>
      </c>
      <c r="D1068">
        <v>1190</v>
      </c>
      <c r="E1068" s="9">
        <v>2550</v>
      </c>
      <c r="F1068">
        <v>53</v>
      </c>
      <c r="G1068">
        <v>3.8</v>
      </c>
      <c r="H1068" s="18">
        <v>1181</v>
      </c>
      <c r="I1068" t="s">
        <v>2339</v>
      </c>
    </row>
    <row r="1069" spans="1:9" x14ac:dyDescent="0.25">
      <c r="A1069" t="s">
        <v>1085</v>
      </c>
      <c r="B1069" t="s">
        <v>2237</v>
      </c>
      <c r="C1069" t="s">
        <v>413</v>
      </c>
      <c r="D1069">
        <v>1799</v>
      </c>
      <c r="E1069" s="9">
        <v>1950</v>
      </c>
      <c r="F1069">
        <v>8</v>
      </c>
      <c r="G1069">
        <v>3.9</v>
      </c>
      <c r="H1069" s="18">
        <v>1888</v>
      </c>
      <c r="I1069" t="s">
        <v>2336</v>
      </c>
    </row>
    <row r="1070" spans="1:9" x14ac:dyDescent="0.25">
      <c r="A1070" t="s">
        <v>1086</v>
      </c>
      <c r="B1070" t="s">
        <v>2238</v>
      </c>
      <c r="C1070" t="s">
        <v>413</v>
      </c>
      <c r="D1070">
        <v>6120</v>
      </c>
      <c r="E1070" s="9">
        <v>8478</v>
      </c>
      <c r="F1070">
        <v>28</v>
      </c>
      <c r="G1070">
        <v>4.5999999999999996</v>
      </c>
      <c r="H1070" s="18">
        <v>6550</v>
      </c>
      <c r="I1070" t="s">
        <v>2339</v>
      </c>
    </row>
    <row r="1071" spans="1:9" x14ac:dyDescent="0.25">
      <c r="A1071" t="s">
        <v>1087</v>
      </c>
      <c r="B1071" t="s">
        <v>2239</v>
      </c>
      <c r="C1071" t="s">
        <v>413</v>
      </c>
      <c r="D1071">
        <v>1799</v>
      </c>
      <c r="E1071" s="9">
        <v>3299</v>
      </c>
      <c r="F1071">
        <v>45</v>
      </c>
      <c r="G1071">
        <v>3.8</v>
      </c>
      <c r="H1071" s="18">
        <v>1846</v>
      </c>
      <c r="I1071" t="s">
        <v>2339</v>
      </c>
    </row>
    <row r="1072" spans="1:9" x14ac:dyDescent="0.25">
      <c r="A1072" t="s">
        <v>1088</v>
      </c>
      <c r="B1072" t="s">
        <v>2240</v>
      </c>
      <c r="C1072" t="s">
        <v>413</v>
      </c>
      <c r="D1072">
        <v>2199</v>
      </c>
      <c r="E1072" s="9">
        <v>3895</v>
      </c>
      <c r="F1072">
        <v>44</v>
      </c>
      <c r="G1072">
        <v>3.9</v>
      </c>
      <c r="H1072" s="18">
        <v>1085</v>
      </c>
      <c r="I1072" t="s">
        <v>2339</v>
      </c>
    </row>
    <row r="1073" spans="1:9" x14ac:dyDescent="0.25">
      <c r="A1073" t="s">
        <v>1089</v>
      </c>
      <c r="B1073" t="s">
        <v>2241</v>
      </c>
      <c r="C1073" t="s">
        <v>413</v>
      </c>
      <c r="D1073">
        <v>3685</v>
      </c>
      <c r="E1073" s="9">
        <v>5495</v>
      </c>
      <c r="F1073">
        <v>33</v>
      </c>
      <c r="G1073">
        <v>4.0999999999999996</v>
      </c>
      <c r="H1073" s="18">
        <v>290</v>
      </c>
      <c r="I1073" t="s">
        <v>2339</v>
      </c>
    </row>
    <row r="1074" spans="1:9" x14ac:dyDescent="0.25">
      <c r="A1074" t="s">
        <v>1090</v>
      </c>
      <c r="B1074" t="s">
        <v>2242</v>
      </c>
      <c r="C1074" t="s">
        <v>413</v>
      </c>
      <c r="D1074">
        <v>649</v>
      </c>
      <c r="E1074" s="9">
        <v>999</v>
      </c>
      <c r="F1074">
        <v>35</v>
      </c>
      <c r="G1074">
        <v>3.6</v>
      </c>
      <c r="H1074" s="18">
        <v>4</v>
      </c>
      <c r="I1074" t="s">
        <v>2336</v>
      </c>
    </row>
    <row r="1075" spans="1:9" x14ac:dyDescent="0.25">
      <c r="A1075" t="s">
        <v>1091</v>
      </c>
      <c r="B1075" t="s">
        <v>2243</v>
      </c>
      <c r="C1075" t="s">
        <v>413</v>
      </c>
      <c r="D1075">
        <v>8599</v>
      </c>
      <c r="E1075" s="9">
        <v>8995</v>
      </c>
      <c r="F1075">
        <v>4</v>
      </c>
      <c r="G1075">
        <v>4.4000000000000004</v>
      </c>
      <c r="H1075" s="18">
        <v>9734</v>
      </c>
      <c r="I1075" t="s">
        <v>2339</v>
      </c>
    </row>
    <row r="1076" spans="1:9" x14ac:dyDescent="0.25">
      <c r="A1076" t="s">
        <v>1092</v>
      </c>
      <c r="B1076" t="s">
        <v>2244</v>
      </c>
      <c r="C1076" t="s">
        <v>413</v>
      </c>
      <c r="D1076">
        <v>1110</v>
      </c>
      <c r="E1076" s="9">
        <v>1599</v>
      </c>
      <c r="F1076">
        <v>31</v>
      </c>
      <c r="G1076">
        <v>4.3</v>
      </c>
      <c r="H1076" s="18">
        <v>4022</v>
      </c>
      <c r="I1076" t="s">
        <v>2336</v>
      </c>
    </row>
    <row r="1077" spans="1:9" x14ac:dyDescent="0.25">
      <c r="A1077" t="s">
        <v>1093</v>
      </c>
      <c r="B1077" t="s">
        <v>2245</v>
      </c>
      <c r="C1077" t="s">
        <v>413</v>
      </c>
      <c r="D1077">
        <v>1499</v>
      </c>
      <c r="E1077" s="9">
        <v>3500</v>
      </c>
      <c r="F1077">
        <v>57</v>
      </c>
      <c r="G1077">
        <v>4.7</v>
      </c>
      <c r="H1077" s="18">
        <v>2591</v>
      </c>
      <c r="I1077" t="s">
        <v>2339</v>
      </c>
    </row>
    <row r="1078" spans="1:9" x14ac:dyDescent="0.25">
      <c r="A1078" t="s">
        <v>1094</v>
      </c>
      <c r="B1078" t="s">
        <v>2246</v>
      </c>
      <c r="C1078" t="s">
        <v>413</v>
      </c>
      <c r="D1078">
        <v>759</v>
      </c>
      <c r="E1078" s="9">
        <v>1999</v>
      </c>
      <c r="F1078">
        <v>62</v>
      </c>
      <c r="G1078">
        <v>4.3</v>
      </c>
      <c r="H1078" s="18">
        <v>532</v>
      </c>
      <c r="I1078" t="s">
        <v>2336</v>
      </c>
    </row>
    <row r="1079" spans="1:9" x14ac:dyDescent="0.25">
      <c r="A1079" t="s">
        <v>1095</v>
      </c>
      <c r="B1079" t="s">
        <v>2247</v>
      </c>
      <c r="C1079" t="s">
        <v>413</v>
      </c>
      <c r="D1079">
        <v>2669</v>
      </c>
      <c r="E1079" s="9">
        <v>3199</v>
      </c>
      <c r="F1079">
        <v>17</v>
      </c>
      <c r="G1079">
        <v>3.9</v>
      </c>
      <c r="H1079" s="18">
        <v>260</v>
      </c>
      <c r="I1079" t="s">
        <v>2339</v>
      </c>
    </row>
    <row r="1080" spans="1:9" x14ac:dyDescent="0.25">
      <c r="A1080" t="s">
        <v>1096</v>
      </c>
      <c r="B1080" t="s">
        <v>2248</v>
      </c>
      <c r="C1080" t="s">
        <v>413</v>
      </c>
      <c r="D1080">
        <v>929</v>
      </c>
      <c r="E1080" s="9">
        <v>1300</v>
      </c>
      <c r="F1080">
        <v>29</v>
      </c>
      <c r="G1080">
        <v>3.9</v>
      </c>
      <c r="H1080" s="18">
        <v>1672</v>
      </c>
      <c r="I1080" t="s">
        <v>2336</v>
      </c>
    </row>
    <row r="1081" spans="1:9" x14ac:dyDescent="0.25">
      <c r="A1081" t="s">
        <v>1097</v>
      </c>
      <c r="B1081" t="s">
        <v>2249</v>
      </c>
      <c r="C1081" t="s">
        <v>413</v>
      </c>
      <c r="D1081">
        <v>199</v>
      </c>
      <c r="E1081" s="9">
        <v>399</v>
      </c>
      <c r="F1081">
        <v>50</v>
      </c>
      <c r="G1081">
        <v>3.7</v>
      </c>
      <c r="H1081" s="18">
        <v>7945</v>
      </c>
      <c r="I1081" t="s">
        <v>2340</v>
      </c>
    </row>
    <row r="1082" spans="1:9" x14ac:dyDescent="0.25">
      <c r="A1082" t="s">
        <v>1098</v>
      </c>
      <c r="B1082" t="s">
        <v>2250</v>
      </c>
      <c r="C1082" t="s">
        <v>413</v>
      </c>
      <c r="D1082">
        <v>279</v>
      </c>
      <c r="E1082" s="9">
        <v>599</v>
      </c>
      <c r="F1082">
        <v>53</v>
      </c>
      <c r="G1082">
        <v>3.5</v>
      </c>
      <c r="H1082" s="18">
        <v>1367</v>
      </c>
      <c r="I1082" t="s">
        <v>2336</v>
      </c>
    </row>
    <row r="1083" spans="1:9" x14ac:dyDescent="0.25">
      <c r="A1083" t="s">
        <v>1099</v>
      </c>
      <c r="B1083" t="s">
        <v>2251</v>
      </c>
      <c r="C1083" t="s">
        <v>413</v>
      </c>
      <c r="D1083">
        <v>549</v>
      </c>
      <c r="E1083" s="9">
        <v>999</v>
      </c>
      <c r="F1083">
        <v>45</v>
      </c>
      <c r="G1083">
        <v>4</v>
      </c>
      <c r="H1083" s="18">
        <v>1313</v>
      </c>
      <c r="I1083" t="s">
        <v>2336</v>
      </c>
    </row>
    <row r="1084" spans="1:9" x14ac:dyDescent="0.25">
      <c r="A1084" t="s">
        <v>1100</v>
      </c>
      <c r="B1084" t="s">
        <v>2252</v>
      </c>
      <c r="C1084" t="s">
        <v>413</v>
      </c>
      <c r="D1084">
        <v>85</v>
      </c>
      <c r="E1084" s="9">
        <v>199</v>
      </c>
      <c r="F1084">
        <v>57</v>
      </c>
      <c r="G1084">
        <v>4.0999999999999996</v>
      </c>
      <c r="H1084" s="18">
        <v>212</v>
      </c>
      <c r="I1084" t="s">
        <v>2340</v>
      </c>
    </row>
    <row r="1085" spans="1:9" x14ac:dyDescent="0.25">
      <c r="A1085" t="s">
        <v>1101</v>
      </c>
      <c r="B1085" t="s">
        <v>2253</v>
      </c>
      <c r="C1085" t="s">
        <v>413</v>
      </c>
      <c r="D1085">
        <v>499</v>
      </c>
      <c r="E1085" s="9">
        <v>1299</v>
      </c>
      <c r="F1085">
        <v>62</v>
      </c>
      <c r="G1085">
        <v>3.9</v>
      </c>
      <c r="H1085" s="18">
        <v>65</v>
      </c>
      <c r="I1085" t="s">
        <v>2336</v>
      </c>
    </row>
    <row r="1086" spans="1:9" x14ac:dyDescent="0.25">
      <c r="A1086" t="s">
        <v>1102</v>
      </c>
      <c r="B1086" t="s">
        <v>2254</v>
      </c>
      <c r="C1086" t="s">
        <v>413</v>
      </c>
      <c r="D1086">
        <v>5865</v>
      </c>
      <c r="E1086" s="9">
        <v>7776</v>
      </c>
      <c r="F1086">
        <v>25</v>
      </c>
      <c r="G1086">
        <v>4.4000000000000004</v>
      </c>
      <c r="H1086" s="18">
        <v>2737</v>
      </c>
      <c r="I1086" t="s">
        <v>2339</v>
      </c>
    </row>
    <row r="1087" spans="1:9" x14ac:dyDescent="0.25">
      <c r="A1087" t="s">
        <v>1103</v>
      </c>
      <c r="B1087" t="s">
        <v>2255</v>
      </c>
      <c r="C1087" t="s">
        <v>413</v>
      </c>
      <c r="D1087">
        <v>1260</v>
      </c>
      <c r="E1087" s="9">
        <v>2299</v>
      </c>
      <c r="F1087">
        <v>45</v>
      </c>
      <c r="G1087">
        <v>4.3</v>
      </c>
      <c r="H1087" s="18">
        <v>55</v>
      </c>
      <c r="I1087" t="s">
        <v>2339</v>
      </c>
    </row>
    <row r="1088" spans="1:9" x14ac:dyDescent="0.25">
      <c r="A1088" t="s">
        <v>1104</v>
      </c>
      <c r="B1088" t="s">
        <v>2256</v>
      </c>
      <c r="C1088" t="s">
        <v>413</v>
      </c>
      <c r="D1088">
        <v>1099</v>
      </c>
      <c r="E1088" s="9">
        <v>1500</v>
      </c>
      <c r="F1088">
        <v>27</v>
      </c>
      <c r="G1088">
        <v>4.5</v>
      </c>
      <c r="H1088" s="18">
        <v>1065</v>
      </c>
      <c r="I1088" t="s">
        <v>2336</v>
      </c>
    </row>
    <row r="1089" spans="1:9" x14ac:dyDescent="0.25">
      <c r="A1089" t="s">
        <v>1105</v>
      </c>
      <c r="B1089" t="s">
        <v>2257</v>
      </c>
      <c r="C1089" t="s">
        <v>413</v>
      </c>
      <c r="D1089">
        <v>1928</v>
      </c>
      <c r="E1089" s="9">
        <v>2590</v>
      </c>
      <c r="F1089">
        <v>26</v>
      </c>
      <c r="G1089">
        <v>4</v>
      </c>
      <c r="H1089" s="18">
        <v>2377</v>
      </c>
      <c r="I1089" t="s">
        <v>2339</v>
      </c>
    </row>
    <row r="1090" spans="1:9" x14ac:dyDescent="0.25">
      <c r="A1090" t="s">
        <v>1106</v>
      </c>
      <c r="B1090" t="s">
        <v>2258</v>
      </c>
      <c r="C1090" t="s">
        <v>413</v>
      </c>
      <c r="D1090">
        <v>3249</v>
      </c>
      <c r="E1090" s="9">
        <v>6299</v>
      </c>
      <c r="F1090">
        <v>48</v>
      </c>
      <c r="G1090">
        <v>3.9</v>
      </c>
      <c r="H1090" s="18">
        <v>2569</v>
      </c>
      <c r="I1090" t="s">
        <v>2339</v>
      </c>
    </row>
    <row r="1091" spans="1:9" x14ac:dyDescent="0.25">
      <c r="A1091" t="s">
        <v>1107</v>
      </c>
      <c r="B1091" t="s">
        <v>2259</v>
      </c>
      <c r="C1091" t="s">
        <v>413</v>
      </c>
      <c r="D1091">
        <v>1199</v>
      </c>
      <c r="E1091" s="9">
        <v>1795</v>
      </c>
      <c r="F1091">
        <v>33</v>
      </c>
      <c r="G1091">
        <v>4.2</v>
      </c>
      <c r="H1091" s="18">
        <v>5967</v>
      </c>
      <c r="I1091" t="s">
        <v>2336</v>
      </c>
    </row>
    <row r="1092" spans="1:9" x14ac:dyDescent="0.25">
      <c r="A1092" t="s">
        <v>1108</v>
      </c>
      <c r="B1092" t="s">
        <v>2260</v>
      </c>
      <c r="C1092" t="s">
        <v>413</v>
      </c>
      <c r="D1092">
        <v>1456</v>
      </c>
      <c r="E1092" s="9">
        <v>3190</v>
      </c>
      <c r="F1092">
        <v>54</v>
      </c>
      <c r="G1092">
        <v>4.0999999999999996</v>
      </c>
      <c r="H1092" s="18">
        <v>1776</v>
      </c>
      <c r="I1092" t="s">
        <v>2339</v>
      </c>
    </row>
    <row r="1093" spans="1:9" x14ac:dyDescent="0.25">
      <c r="A1093" t="s">
        <v>1109</v>
      </c>
      <c r="B1093" t="s">
        <v>2261</v>
      </c>
      <c r="C1093" t="s">
        <v>413</v>
      </c>
      <c r="D1093">
        <v>3349</v>
      </c>
      <c r="E1093" s="9">
        <v>4799</v>
      </c>
      <c r="F1093">
        <v>30</v>
      </c>
      <c r="G1093">
        <v>3.7</v>
      </c>
      <c r="H1093" s="18">
        <v>4200</v>
      </c>
      <c r="I1093" t="s">
        <v>2339</v>
      </c>
    </row>
    <row r="1094" spans="1:9" x14ac:dyDescent="0.25">
      <c r="A1094" t="s">
        <v>1110</v>
      </c>
      <c r="B1094" t="s">
        <v>2262</v>
      </c>
      <c r="C1094" t="s">
        <v>413</v>
      </c>
      <c r="D1094">
        <v>4899</v>
      </c>
      <c r="E1094" s="9">
        <v>8999</v>
      </c>
      <c r="F1094">
        <v>46</v>
      </c>
      <c r="G1094">
        <v>4.0999999999999996</v>
      </c>
      <c r="H1094" s="18">
        <v>297</v>
      </c>
      <c r="I1094" t="s">
        <v>2339</v>
      </c>
    </row>
    <row r="1095" spans="1:9" x14ac:dyDescent="0.25">
      <c r="A1095" t="s">
        <v>1111</v>
      </c>
      <c r="B1095" t="s">
        <v>2263</v>
      </c>
      <c r="C1095" t="s">
        <v>413</v>
      </c>
      <c r="D1095">
        <v>1199</v>
      </c>
      <c r="E1095" s="9">
        <v>1899</v>
      </c>
      <c r="F1095">
        <v>37</v>
      </c>
      <c r="G1095">
        <v>4.2</v>
      </c>
      <c r="H1095" s="18">
        <v>3858</v>
      </c>
      <c r="I1095" t="s">
        <v>2336</v>
      </c>
    </row>
    <row r="1096" spans="1:9" x14ac:dyDescent="0.25">
      <c r="A1096" t="s">
        <v>1112</v>
      </c>
      <c r="B1096" t="s">
        <v>2264</v>
      </c>
      <c r="C1096" t="s">
        <v>413</v>
      </c>
      <c r="D1096">
        <v>3290</v>
      </c>
      <c r="E1096" s="9">
        <v>5799</v>
      </c>
      <c r="F1096">
        <v>43</v>
      </c>
      <c r="G1096">
        <v>4.3</v>
      </c>
      <c r="H1096" s="18">
        <v>168</v>
      </c>
      <c r="I1096" t="s">
        <v>2339</v>
      </c>
    </row>
    <row r="1097" spans="1:9" x14ac:dyDescent="0.25">
      <c r="A1097" t="s">
        <v>1113</v>
      </c>
      <c r="B1097" t="s">
        <v>2265</v>
      </c>
      <c r="C1097" t="s">
        <v>413</v>
      </c>
      <c r="D1097">
        <v>179</v>
      </c>
      <c r="E1097" s="9">
        <v>799</v>
      </c>
      <c r="F1097">
        <v>78</v>
      </c>
      <c r="G1097">
        <v>3.6</v>
      </c>
      <c r="H1097" s="18">
        <v>101</v>
      </c>
      <c r="I1097" t="s">
        <v>2336</v>
      </c>
    </row>
    <row r="1098" spans="1:9" x14ac:dyDescent="0.25">
      <c r="A1098" t="s">
        <v>1114</v>
      </c>
      <c r="B1098" t="s">
        <v>2266</v>
      </c>
      <c r="C1098" t="s">
        <v>413</v>
      </c>
      <c r="D1098">
        <v>149</v>
      </c>
      <c r="E1098" s="9">
        <v>300</v>
      </c>
      <c r="F1098">
        <v>50</v>
      </c>
      <c r="G1098">
        <v>4.0999999999999996</v>
      </c>
      <c r="H1098" s="18">
        <v>4074</v>
      </c>
      <c r="I1098" t="s">
        <v>2340</v>
      </c>
    </row>
    <row r="1099" spans="1:9" x14ac:dyDescent="0.25">
      <c r="A1099" t="s">
        <v>1115</v>
      </c>
      <c r="B1099" t="s">
        <v>2267</v>
      </c>
      <c r="C1099" t="s">
        <v>413</v>
      </c>
      <c r="D1099">
        <v>5490</v>
      </c>
      <c r="E1099" s="9">
        <v>7200</v>
      </c>
      <c r="F1099">
        <v>24</v>
      </c>
      <c r="G1099">
        <v>4.5</v>
      </c>
      <c r="H1099" s="18">
        <v>1408</v>
      </c>
      <c r="I1099" t="s">
        <v>2339</v>
      </c>
    </row>
    <row r="1100" spans="1:9" x14ac:dyDescent="0.25">
      <c r="A1100" t="s">
        <v>1116</v>
      </c>
      <c r="B1100" t="s">
        <v>2268</v>
      </c>
      <c r="C1100" t="s">
        <v>413</v>
      </c>
      <c r="D1100">
        <v>379</v>
      </c>
      <c r="E1100" s="9">
        <v>389</v>
      </c>
      <c r="F1100">
        <v>3</v>
      </c>
      <c r="G1100">
        <v>4.2</v>
      </c>
      <c r="H1100" s="18">
        <v>3739</v>
      </c>
      <c r="I1100" t="s">
        <v>2340</v>
      </c>
    </row>
    <row r="1101" spans="1:9" x14ac:dyDescent="0.25">
      <c r="A1101" t="s">
        <v>1117</v>
      </c>
      <c r="B1101" t="s">
        <v>2269</v>
      </c>
      <c r="C1101" t="s">
        <v>413</v>
      </c>
      <c r="D1101">
        <v>8699</v>
      </c>
      <c r="E1101" s="9">
        <v>13049</v>
      </c>
      <c r="F1101">
        <v>33</v>
      </c>
      <c r="G1101">
        <v>4.3</v>
      </c>
      <c r="H1101" s="18">
        <v>5891</v>
      </c>
      <c r="I1101" t="s">
        <v>2339</v>
      </c>
    </row>
    <row r="1102" spans="1:9" x14ac:dyDescent="0.25">
      <c r="A1102" t="s">
        <v>1118</v>
      </c>
      <c r="B1102" t="s">
        <v>2270</v>
      </c>
      <c r="C1102" t="s">
        <v>413</v>
      </c>
      <c r="D1102">
        <v>304167</v>
      </c>
      <c r="E1102" s="9">
        <v>5999</v>
      </c>
      <c r="F1102">
        <v>49</v>
      </c>
      <c r="G1102">
        <v>4</v>
      </c>
      <c r="H1102" s="18">
        <v>777</v>
      </c>
      <c r="I1102" t="s">
        <v>2339</v>
      </c>
    </row>
    <row r="1103" spans="1:9" x14ac:dyDescent="0.25">
      <c r="A1103" t="s">
        <v>1119</v>
      </c>
      <c r="B1103" t="s">
        <v>2271</v>
      </c>
      <c r="C1103" t="s">
        <v>413</v>
      </c>
      <c r="D1103">
        <v>1745</v>
      </c>
      <c r="E1103" s="9">
        <v>2400</v>
      </c>
      <c r="F1103">
        <v>27</v>
      </c>
      <c r="G1103">
        <v>4.2</v>
      </c>
      <c r="H1103" s="18">
        <v>14160</v>
      </c>
      <c r="I1103" t="s">
        <v>2339</v>
      </c>
    </row>
    <row r="1104" spans="1:9" x14ac:dyDescent="0.25">
      <c r="A1104" t="s">
        <v>1120</v>
      </c>
      <c r="B1104" t="s">
        <v>2272</v>
      </c>
      <c r="C1104" t="s">
        <v>413</v>
      </c>
      <c r="D1104">
        <v>3180</v>
      </c>
      <c r="E1104" s="9">
        <v>5295</v>
      </c>
      <c r="F1104">
        <v>40</v>
      </c>
      <c r="G1104">
        <v>4.2</v>
      </c>
      <c r="H1104" s="18">
        <v>6919</v>
      </c>
      <c r="I1104" t="s">
        <v>2339</v>
      </c>
    </row>
    <row r="1105" spans="1:9" x14ac:dyDescent="0.25">
      <c r="A1105" t="s">
        <v>1121</v>
      </c>
      <c r="B1105" t="s">
        <v>2273</v>
      </c>
      <c r="C1105" t="s">
        <v>413</v>
      </c>
      <c r="D1105">
        <v>4999</v>
      </c>
      <c r="E1105" s="9">
        <v>24999</v>
      </c>
      <c r="F1105">
        <v>80</v>
      </c>
      <c r="G1105">
        <v>4.5</v>
      </c>
      <c r="H1105" s="18">
        <v>287</v>
      </c>
      <c r="I1105" t="s">
        <v>2339</v>
      </c>
    </row>
    <row r="1106" spans="1:9" x14ac:dyDescent="0.25">
      <c r="A1106" t="s">
        <v>1122</v>
      </c>
      <c r="B1106" t="s">
        <v>2274</v>
      </c>
      <c r="C1106" t="s">
        <v>413</v>
      </c>
      <c r="D1106">
        <v>390</v>
      </c>
      <c r="E1106" s="9">
        <v>799</v>
      </c>
      <c r="F1106">
        <v>51</v>
      </c>
      <c r="G1106">
        <v>3.8</v>
      </c>
      <c r="H1106" s="18">
        <v>287</v>
      </c>
      <c r="I1106" t="s">
        <v>2336</v>
      </c>
    </row>
    <row r="1107" spans="1:9" x14ac:dyDescent="0.25">
      <c r="A1107" t="s">
        <v>1123</v>
      </c>
      <c r="B1107" t="s">
        <v>2275</v>
      </c>
      <c r="C1107" t="s">
        <v>413</v>
      </c>
      <c r="D1107">
        <v>1999</v>
      </c>
      <c r="E1107" s="9">
        <v>2999</v>
      </c>
      <c r="F1107">
        <v>33</v>
      </c>
      <c r="G1107">
        <v>4.4000000000000004</v>
      </c>
      <c r="H1107" s="18">
        <v>388</v>
      </c>
      <c r="I1107" t="s">
        <v>2339</v>
      </c>
    </row>
    <row r="1108" spans="1:9" x14ac:dyDescent="0.25">
      <c r="A1108" t="s">
        <v>1124</v>
      </c>
      <c r="B1108" t="s">
        <v>2276</v>
      </c>
      <c r="C1108" t="s">
        <v>413</v>
      </c>
      <c r="D1108">
        <v>1624</v>
      </c>
      <c r="E1108" s="9">
        <v>2495</v>
      </c>
      <c r="F1108">
        <v>35</v>
      </c>
      <c r="G1108">
        <v>4.0999999999999996</v>
      </c>
      <c r="H1108" s="18">
        <v>827</v>
      </c>
      <c r="I1108" t="s">
        <v>2339</v>
      </c>
    </row>
    <row r="1109" spans="1:9" x14ac:dyDescent="0.25">
      <c r="A1109" t="s">
        <v>1125</v>
      </c>
      <c r="B1109" t="s">
        <v>2277</v>
      </c>
      <c r="C1109" t="s">
        <v>413</v>
      </c>
      <c r="D1109">
        <v>184</v>
      </c>
      <c r="E1109" s="9">
        <v>450</v>
      </c>
      <c r="F1109">
        <v>59</v>
      </c>
      <c r="G1109">
        <v>4.2</v>
      </c>
      <c r="H1109" s="18">
        <v>4971</v>
      </c>
      <c r="I1109" t="s">
        <v>2340</v>
      </c>
    </row>
    <row r="1110" spans="1:9" x14ac:dyDescent="0.25">
      <c r="A1110" t="s">
        <v>1126</v>
      </c>
      <c r="B1110" t="s">
        <v>2278</v>
      </c>
      <c r="C1110" t="s">
        <v>413</v>
      </c>
      <c r="D1110">
        <v>445</v>
      </c>
      <c r="E1110" s="9">
        <v>999</v>
      </c>
      <c r="F1110">
        <v>55</v>
      </c>
      <c r="G1110">
        <v>4.3</v>
      </c>
      <c r="H1110" s="18">
        <v>229</v>
      </c>
      <c r="I1110" t="s">
        <v>2336</v>
      </c>
    </row>
    <row r="1111" spans="1:9" x14ac:dyDescent="0.25">
      <c r="A1111" t="s">
        <v>1127</v>
      </c>
      <c r="B1111" t="s">
        <v>2279</v>
      </c>
      <c r="C1111" t="s">
        <v>413</v>
      </c>
      <c r="D1111">
        <v>699</v>
      </c>
      <c r="E1111" s="9">
        <v>1690</v>
      </c>
      <c r="F1111">
        <v>59</v>
      </c>
      <c r="G1111">
        <v>4.0999999999999996</v>
      </c>
      <c r="H1111" s="18">
        <v>3524</v>
      </c>
      <c r="I1111" t="s">
        <v>2336</v>
      </c>
    </row>
    <row r="1112" spans="1:9" x14ac:dyDescent="0.25">
      <c r="A1112" t="s">
        <v>1128</v>
      </c>
      <c r="B1112" t="s">
        <v>2280</v>
      </c>
      <c r="C1112" t="s">
        <v>413</v>
      </c>
      <c r="D1112">
        <v>1601</v>
      </c>
      <c r="E1112" s="9">
        <v>3890</v>
      </c>
      <c r="F1112">
        <v>59</v>
      </c>
      <c r="G1112">
        <v>4.2</v>
      </c>
      <c r="H1112" s="18">
        <v>156</v>
      </c>
      <c r="I1112" t="s">
        <v>2339</v>
      </c>
    </row>
    <row r="1113" spans="1:9" x14ac:dyDescent="0.25">
      <c r="A1113" t="s">
        <v>1129</v>
      </c>
      <c r="B1113" t="s">
        <v>2281</v>
      </c>
      <c r="C1113" t="s">
        <v>413</v>
      </c>
      <c r="D1113">
        <v>231</v>
      </c>
      <c r="E1113" s="9">
        <v>260</v>
      </c>
      <c r="F1113">
        <v>11</v>
      </c>
      <c r="G1113">
        <v>4.0999999999999996</v>
      </c>
      <c r="H1113" s="18">
        <v>490</v>
      </c>
      <c r="I1113" t="s">
        <v>2340</v>
      </c>
    </row>
    <row r="1114" spans="1:9" x14ac:dyDescent="0.25">
      <c r="A1114" t="s">
        <v>1130</v>
      </c>
      <c r="B1114" t="s">
        <v>2282</v>
      </c>
      <c r="C1114" t="s">
        <v>413</v>
      </c>
      <c r="D1114">
        <v>369</v>
      </c>
      <c r="E1114" s="9">
        <v>599</v>
      </c>
      <c r="F1114">
        <v>38</v>
      </c>
      <c r="G1114">
        <v>3.9</v>
      </c>
      <c r="H1114" s="18">
        <v>82</v>
      </c>
      <c r="I1114" t="s">
        <v>2336</v>
      </c>
    </row>
    <row r="1115" spans="1:9" x14ac:dyDescent="0.25">
      <c r="A1115" t="s">
        <v>1131</v>
      </c>
      <c r="B1115" t="s">
        <v>2283</v>
      </c>
      <c r="C1115" t="s">
        <v>413</v>
      </c>
      <c r="D1115">
        <v>809</v>
      </c>
      <c r="E1115" s="9">
        <v>1950</v>
      </c>
      <c r="F1115">
        <v>59</v>
      </c>
      <c r="G1115">
        <v>3.9</v>
      </c>
      <c r="H1115" s="18">
        <v>710</v>
      </c>
      <c r="I1115" t="s">
        <v>2336</v>
      </c>
    </row>
    <row r="1116" spans="1:9" x14ac:dyDescent="0.25">
      <c r="A1116" t="s">
        <v>1132</v>
      </c>
      <c r="B1116" t="s">
        <v>2284</v>
      </c>
      <c r="C1116" t="s">
        <v>413</v>
      </c>
      <c r="D1116">
        <v>1199</v>
      </c>
      <c r="E1116" s="9">
        <v>2990</v>
      </c>
      <c r="F1116">
        <v>60</v>
      </c>
      <c r="G1116">
        <v>3.8</v>
      </c>
      <c r="H1116" s="18">
        <v>133</v>
      </c>
      <c r="I1116" t="s">
        <v>2339</v>
      </c>
    </row>
    <row r="1117" spans="1:9" x14ac:dyDescent="0.25">
      <c r="A1117" t="s">
        <v>1133</v>
      </c>
      <c r="B1117" t="s">
        <v>2285</v>
      </c>
      <c r="C1117" t="s">
        <v>413</v>
      </c>
      <c r="D1117">
        <v>6120</v>
      </c>
      <c r="E1117" s="9">
        <v>8073</v>
      </c>
      <c r="F1117">
        <v>24</v>
      </c>
      <c r="G1117">
        <v>4.5999999999999996</v>
      </c>
      <c r="H1117" s="18">
        <v>2751</v>
      </c>
      <c r="I1117" t="s">
        <v>2339</v>
      </c>
    </row>
    <row r="1118" spans="1:9" x14ac:dyDescent="0.25">
      <c r="A1118" t="s">
        <v>1134</v>
      </c>
      <c r="B1118" t="s">
        <v>2286</v>
      </c>
      <c r="C1118" t="s">
        <v>413</v>
      </c>
      <c r="D1118">
        <v>1799</v>
      </c>
      <c r="E1118" s="9">
        <v>2599</v>
      </c>
      <c r="F1118">
        <v>31</v>
      </c>
      <c r="G1118">
        <v>3.6</v>
      </c>
      <c r="H1118" s="18">
        <v>771</v>
      </c>
      <c r="I1118" t="s">
        <v>2339</v>
      </c>
    </row>
    <row r="1119" spans="1:9" x14ac:dyDescent="0.25">
      <c r="A1119" t="s">
        <v>1135</v>
      </c>
      <c r="B1119" t="s">
        <v>2287</v>
      </c>
      <c r="C1119" t="s">
        <v>413</v>
      </c>
      <c r="D1119">
        <v>18999</v>
      </c>
      <c r="E1119" s="9">
        <v>29999</v>
      </c>
      <c r="F1119">
        <v>37</v>
      </c>
      <c r="G1119">
        <v>4.0999999999999996</v>
      </c>
      <c r="H1119" s="18">
        <v>2536</v>
      </c>
      <c r="I1119" t="s">
        <v>2339</v>
      </c>
    </row>
    <row r="1120" spans="1:9" x14ac:dyDescent="0.25">
      <c r="A1120" t="s">
        <v>1136</v>
      </c>
      <c r="B1120" t="s">
        <v>2288</v>
      </c>
      <c r="C1120" t="s">
        <v>413</v>
      </c>
      <c r="D1120">
        <v>1999</v>
      </c>
      <c r="E1120" s="9">
        <v>2360</v>
      </c>
      <c r="F1120">
        <v>15</v>
      </c>
      <c r="G1120">
        <v>4.2</v>
      </c>
      <c r="H1120" s="18">
        <v>7801</v>
      </c>
      <c r="I1120" t="s">
        <v>2339</v>
      </c>
    </row>
    <row r="1121" spans="1:9" x14ac:dyDescent="0.25">
      <c r="A1121" t="s">
        <v>1137</v>
      </c>
      <c r="B1121" t="s">
        <v>2289</v>
      </c>
      <c r="C1121" t="s">
        <v>413</v>
      </c>
      <c r="D1121">
        <v>5999</v>
      </c>
      <c r="E1121" s="9">
        <v>11495</v>
      </c>
      <c r="F1121">
        <v>48</v>
      </c>
      <c r="G1121">
        <v>4.3</v>
      </c>
      <c r="H1121" s="18">
        <v>534</v>
      </c>
      <c r="I1121" t="s">
        <v>2339</v>
      </c>
    </row>
    <row r="1122" spans="1:9" x14ac:dyDescent="0.25">
      <c r="A1122" t="s">
        <v>1138</v>
      </c>
      <c r="B1122" t="s">
        <v>2290</v>
      </c>
      <c r="C1122" t="s">
        <v>413</v>
      </c>
      <c r="D1122">
        <v>2599</v>
      </c>
      <c r="E1122" s="9">
        <v>4780</v>
      </c>
      <c r="F1122">
        <v>46</v>
      </c>
      <c r="G1122">
        <v>3.9</v>
      </c>
      <c r="H1122" s="18">
        <v>898</v>
      </c>
      <c r="I1122" t="s">
        <v>2339</v>
      </c>
    </row>
    <row r="1123" spans="1:9" x14ac:dyDescent="0.25">
      <c r="A1123" t="s">
        <v>1139</v>
      </c>
      <c r="B1123" t="s">
        <v>2291</v>
      </c>
      <c r="C1123" t="s">
        <v>413</v>
      </c>
      <c r="D1123">
        <v>1199</v>
      </c>
      <c r="E1123" s="9">
        <v>2400</v>
      </c>
      <c r="F1123">
        <v>50</v>
      </c>
      <c r="G1123">
        <v>3.9</v>
      </c>
      <c r="H1123" s="18">
        <v>1202</v>
      </c>
      <c r="I1123" t="s">
        <v>2339</v>
      </c>
    </row>
    <row r="1124" spans="1:9" x14ac:dyDescent="0.25">
      <c r="A1124" t="s">
        <v>1140</v>
      </c>
      <c r="B1124" t="s">
        <v>2292</v>
      </c>
      <c r="C1124" t="s">
        <v>413</v>
      </c>
      <c r="D1124">
        <v>219</v>
      </c>
      <c r="E1124" s="9">
        <v>249</v>
      </c>
      <c r="F1124">
        <v>12</v>
      </c>
      <c r="G1124">
        <v>4</v>
      </c>
      <c r="H1124" s="18">
        <v>1108</v>
      </c>
      <c r="I1124" t="s">
        <v>2340</v>
      </c>
    </row>
    <row r="1125" spans="1:9" x14ac:dyDescent="0.25">
      <c r="A1125" t="s">
        <v>1141</v>
      </c>
      <c r="B1125" t="s">
        <v>2293</v>
      </c>
      <c r="C1125" t="s">
        <v>413</v>
      </c>
      <c r="D1125">
        <v>799</v>
      </c>
      <c r="E1125" s="9">
        <v>1199</v>
      </c>
      <c r="F1125">
        <v>33</v>
      </c>
      <c r="G1125">
        <v>4.4000000000000004</v>
      </c>
      <c r="H1125" s="18">
        <v>17</v>
      </c>
      <c r="I1125" t="s">
        <v>2336</v>
      </c>
    </row>
    <row r="1126" spans="1:9" x14ac:dyDescent="0.25">
      <c r="A1126" t="s">
        <v>1142</v>
      </c>
      <c r="B1126" t="s">
        <v>2294</v>
      </c>
      <c r="C1126" t="s">
        <v>413</v>
      </c>
      <c r="D1126">
        <v>6199</v>
      </c>
      <c r="E1126" s="9">
        <v>10999</v>
      </c>
      <c r="F1126">
        <v>44</v>
      </c>
      <c r="G1126">
        <v>4.2</v>
      </c>
      <c r="H1126" s="18">
        <v>10429</v>
      </c>
      <c r="I1126" t="s">
        <v>2339</v>
      </c>
    </row>
    <row r="1127" spans="1:9" x14ac:dyDescent="0.25">
      <c r="A1127" t="s">
        <v>1143</v>
      </c>
      <c r="B1127" t="s">
        <v>2295</v>
      </c>
      <c r="C1127" t="s">
        <v>413</v>
      </c>
      <c r="D1127">
        <v>6790</v>
      </c>
      <c r="E1127" s="9">
        <v>10995</v>
      </c>
      <c r="F1127">
        <v>38</v>
      </c>
      <c r="G1127">
        <v>4.5</v>
      </c>
      <c r="H1127" s="18">
        <v>3192</v>
      </c>
      <c r="I1127" t="s">
        <v>2339</v>
      </c>
    </row>
    <row r="1128" spans="1:9" x14ac:dyDescent="0.25">
      <c r="A1128" t="s">
        <v>1144</v>
      </c>
      <c r="B1128" t="s">
        <v>2296</v>
      </c>
      <c r="C1128" t="s">
        <v>413</v>
      </c>
      <c r="D1128">
        <v>198284</v>
      </c>
      <c r="E1128" s="9">
        <v>3300</v>
      </c>
      <c r="F1128">
        <v>40</v>
      </c>
      <c r="G1128">
        <v>4.0999999999999996</v>
      </c>
      <c r="H1128" s="18">
        <v>5873</v>
      </c>
      <c r="I1128" t="s">
        <v>2339</v>
      </c>
    </row>
    <row r="1129" spans="1:9" x14ac:dyDescent="0.25">
      <c r="A1129" t="s">
        <v>1145</v>
      </c>
      <c r="B1129" t="s">
        <v>2297</v>
      </c>
      <c r="C1129" t="s">
        <v>413</v>
      </c>
      <c r="D1129">
        <v>199</v>
      </c>
      <c r="E1129" s="9">
        <v>400</v>
      </c>
      <c r="F1129">
        <v>50</v>
      </c>
      <c r="G1129">
        <v>4.0999999999999996</v>
      </c>
      <c r="H1129" s="18">
        <v>1379</v>
      </c>
      <c r="I1129" t="s">
        <v>2340</v>
      </c>
    </row>
    <row r="1130" spans="1:9" x14ac:dyDescent="0.25">
      <c r="A1130" t="s">
        <v>1146</v>
      </c>
      <c r="B1130" t="s">
        <v>2298</v>
      </c>
      <c r="C1130" t="s">
        <v>413</v>
      </c>
      <c r="D1130">
        <v>1180</v>
      </c>
      <c r="E1130" s="9">
        <v>1440</v>
      </c>
      <c r="F1130">
        <v>18</v>
      </c>
      <c r="G1130">
        <v>4.2</v>
      </c>
      <c r="H1130" s="18">
        <v>1527</v>
      </c>
      <c r="I1130" t="s">
        <v>2336</v>
      </c>
    </row>
    <row r="1131" spans="1:9" x14ac:dyDescent="0.25">
      <c r="A1131" t="s">
        <v>1147</v>
      </c>
      <c r="B1131" t="s">
        <v>2299</v>
      </c>
      <c r="C1131" t="s">
        <v>413</v>
      </c>
      <c r="D1131">
        <v>2199</v>
      </c>
      <c r="E1131" s="9">
        <v>3045</v>
      </c>
      <c r="F1131">
        <v>28</v>
      </c>
      <c r="G1131">
        <v>4.2</v>
      </c>
      <c r="H1131" s="18">
        <v>2686</v>
      </c>
      <c r="I1131" t="s">
        <v>2339</v>
      </c>
    </row>
    <row r="1132" spans="1:9" x14ac:dyDescent="0.25">
      <c r="A1132" t="s">
        <v>1148</v>
      </c>
      <c r="B1132" t="s">
        <v>2300</v>
      </c>
      <c r="C1132" t="s">
        <v>413</v>
      </c>
      <c r="D1132">
        <v>2999</v>
      </c>
      <c r="E1132" s="9">
        <v>3595</v>
      </c>
      <c r="F1132">
        <v>17</v>
      </c>
      <c r="G1132">
        <v>4</v>
      </c>
      <c r="H1132" s="18">
        <v>178</v>
      </c>
      <c r="I1132" t="s">
        <v>2339</v>
      </c>
    </row>
    <row r="1133" spans="1:9" x14ac:dyDescent="0.25">
      <c r="A1133" t="s">
        <v>1149</v>
      </c>
      <c r="B1133" t="s">
        <v>2301</v>
      </c>
      <c r="C1133" t="s">
        <v>413</v>
      </c>
      <c r="D1133">
        <v>253</v>
      </c>
      <c r="E1133" s="9">
        <v>500</v>
      </c>
      <c r="F1133">
        <v>49</v>
      </c>
      <c r="G1133">
        <v>4.3</v>
      </c>
      <c r="H1133" s="18">
        <v>2664</v>
      </c>
      <c r="I1133" t="s">
        <v>2336</v>
      </c>
    </row>
    <row r="1134" spans="1:9" x14ac:dyDescent="0.25">
      <c r="A1134" t="s">
        <v>1150</v>
      </c>
      <c r="B1134" t="s">
        <v>2302</v>
      </c>
      <c r="C1134" t="s">
        <v>413</v>
      </c>
      <c r="D1134">
        <v>499</v>
      </c>
      <c r="E1134" s="9">
        <v>799</v>
      </c>
      <c r="F1134">
        <v>38</v>
      </c>
      <c r="G1134">
        <v>3.6</v>
      </c>
      <c r="H1134" s="18">
        <v>212</v>
      </c>
      <c r="I1134" t="s">
        <v>2336</v>
      </c>
    </row>
    <row r="1135" spans="1:9" x14ac:dyDescent="0.25">
      <c r="A1135" t="s">
        <v>1151</v>
      </c>
      <c r="B1135" t="s">
        <v>2303</v>
      </c>
      <c r="C1135" t="s">
        <v>413</v>
      </c>
      <c r="D1135">
        <v>1149</v>
      </c>
      <c r="E1135" s="9">
        <v>1899</v>
      </c>
      <c r="F1135">
        <v>39</v>
      </c>
      <c r="G1135">
        <v>3.5</v>
      </c>
      <c r="H1135" s="18">
        <v>24</v>
      </c>
      <c r="I1135" t="s">
        <v>2336</v>
      </c>
    </row>
    <row r="1136" spans="1:9" x14ac:dyDescent="0.25">
      <c r="A1136" t="s">
        <v>1152</v>
      </c>
      <c r="B1136" t="s">
        <v>2304</v>
      </c>
      <c r="C1136" t="s">
        <v>413</v>
      </c>
      <c r="D1136">
        <v>457</v>
      </c>
      <c r="E1136" s="9">
        <v>799</v>
      </c>
      <c r="F1136">
        <v>43</v>
      </c>
      <c r="G1136">
        <v>4.3</v>
      </c>
      <c r="H1136" s="18">
        <v>1868</v>
      </c>
      <c r="I1136" t="s">
        <v>2336</v>
      </c>
    </row>
    <row r="1137" spans="1:9" x14ac:dyDescent="0.25">
      <c r="A1137" t="s">
        <v>1153</v>
      </c>
      <c r="B1137" t="s">
        <v>2305</v>
      </c>
      <c r="C1137" t="s">
        <v>413</v>
      </c>
      <c r="D1137">
        <v>229</v>
      </c>
      <c r="E1137" s="9">
        <v>399</v>
      </c>
      <c r="F1137">
        <v>43</v>
      </c>
      <c r="G1137">
        <v>3.6</v>
      </c>
      <c r="H1137" s="18">
        <v>451</v>
      </c>
      <c r="I1137" t="s">
        <v>2340</v>
      </c>
    </row>
    <row r="1138" spans="1:9" x14ac:dyDescent="0.25">
      <c r="A1138" t="s">
        <v>1154</v>
      </c>
      <c r="B1138" t="s">
        <v>2306</v>
      </c>
      <c r="C1138" t="s">
        <v>413</v>
      </c>
      <c r="D1138">
        <v>199</v>
      </c>
      <c r="E1138" s="9">
        <v>699</v>
      </c>
      <c r="F1138">
        <v>72</v>
      </c>
      <c r="G1138">
        <v>2.9</v>
      </c>
      <c r="H1138" s="18">
        <v>159</v>
      </c>
      <c r="I1138" t="s">
        <v>2336</v>
      </c>
    </row>
    <row r="1139" spans="1:9" x14ac:dyDescent="0.25">
      <c r="A1139" t="s">
        <v>1155</v>
      </c>
      <c r="B1139" t="s">
        <v>2307</v>
      </c>
      <c r="C1139" t="s">
        <v>413</v>
      </c>
      <c r="D1139">
        <v>899</v>
      </c>
      <c r="E1139" s="9">
        <v>1999</v>
      </c>
      <c r="F1139">
        <v>55</v>
      </c>
      <c r="G1139">
        <v>4.2</v>
      </c>
      <c r="H1139" s="18">
        <v>39</v>
      </c>
      <c r="I1139" t="s">
        <v>2336</v>
      </c>
    </row>
    <row r="1140" spans="1:9" x14ac:dyDescent="0.25">
      <c r="A1140" t="s">
        <v>1156</v>
      </c>
      <c r="B1140" t="s">
        <v>2308</v>
      </c>
      <c r="C1140" t="s">
        <v>413</v>
      </c>
      <c r="D1140">
        <v>1499</v>
      </c>
      <c r="E1140" s="9">
        <v>2199</v>
      </c>
      <c r="F1140">
        <v>32</v>
      </c>
      <c r="G1140">
        <v>4.4000000000000004</v>
      </c>
      <c r="H1140" s="18">
        <v>6531</v>
      </c>
      <c r="I1140" t="s">
        <v>2339</v>
      </c>
    </row>
    <row r="1141" spans="1:9" x14ac:dyDescent="0.25">
      <c r="A1141" t="s">
        <v>1157</v>
      </c>
      <c r="B1141" t="s">
        <v>2309</v>
      </c>
      <c r="C1141" t="s">
        <v>413</v>
      </c>
      <c r="D1141">
        <v>426</v>
      </c>
      <c r="E1141" s="9">
        <v>999</v>
      </c>
      <c r="F1141">
        <v>57</v>
      </c>
      <c r="G1141">
        <v>4.0999999999999996</v>
      </c>
      <c r="H1141" s="18">
        <v>222</v>
      </c>
      <c r="I1141" t="s">
        <v>2336</v>
      </c>
    </row>
    <row r="1142" spans="1:9" x14ac:dyDescent="0.25">
      <c r="A1142" t="s">
        <v>1158</v>
      </c>
      <c r="B1142" t="s">
        <v>2310</v>
      </c>
      <c r="C1142" t="s">
        <v>413</v>
      </c>
      <c r="D1142">
        <v>2320</v>
      </c>
      <c r="E1142" s="9">
        <v>3290</v>
      </c>
      <c r="F1142">
        <v>29</v>
      </c>
      <c r="G1142">
        <v>3.8</v>
      </c>
      <c r="H1142" s="18">
        <v>195</v>
      </c>
      <c r="I1142" t="s">
        <v>2339</v>
      </c>
    </row>
    <row r="1143" spans="1:9" x14ac:dyDescent="0.25">
      <c r="A1143" t="s">
        <v>1159</v>
      </c>
      <c r="B1143" t="s">
        <v>2311</v>
      </c>
      <c r="C1143" t="s">
        <v>413</v>
      </c>
      <c r="D1143">
        <v>348777</v>
      </c>
      <c r="E1143" s="9">
        <v>4990</v>
      </c>
      <c r="F1143">
        <v>30</v>
      </c>
      <c r="G1143">
        <v>4.0999999999999996</v>
      </c>
      <c r="H1143" s="18">
        <v>1127</v>
      </c>
      <c r="I1143" t="s">
        <v>2339</v>
      </c>
    </row>
    <row r="1144" spans="1:9" x14ac:dyDescent="0.25">
      <c r="A1144" t="s">
        <v>1160</v>
      </c>
      <c r="B1144" t="s">
        <v>2312</v>
      </c>
      <c r="C1144" t="s">
        <v>413</v>
      </c>
      <c r="D1144">
        <v>498</v>
      </c>
      <c r="E1144" s="9">
        <v>1200</v>
      </c>
      <c r="F1144">
        <v>59</v>
      </c>
      <c r="G1144">
        <v>3.2</v>
      </c>
      <c r="H1144" s="18">
        <v>113</v>
      </c>
      <c r="I1144" t="s">
        <v>2336</v>
      </c>
    </row>
    <row r="1145" spans="1:9" x14ac:dyDescent="0.25">
      <c r="A1145" t="s">
        <v>1161</v>
      </c>
      <c r="B1145" t="s">
        <v>2313</v>
      </c>
      <c r="C1145" t="s">
        <v>413</v>
      </c>
      <c r="D1145">
        <v>2695</v>
      </c>
      <c r="E1145" s="9">
        <v>2695</v>
      </c>
      <c r="F1145">
        <v>0</v>
      </c>
      <c r="G1145">
        <v>4.4000000000000004</v>
      </c>
      <c r="H1145" s="18">
        <v>2518</v>
      </c>
      <c r="I1145" t="s">
        <v>2339</v>
      </c>
    </row>
    <row r="1146" spans="1:9" x14ac:dyDescent="0.25">
      <c r="A1146" t="s">
        <v>1162</v>
      </c>
      <c r="B1146" t="s">
        <v>2314</v>
      </c>
      <c r="C1146" t="s">
        <v>413</v>
      </c>
      <c r="D1146">
        <v>949</v>
      </c>
      <c r="E1146" s="9">
        <v>2299</v>
      </c>
      <c r="F1146">
        <v>59</v>
      </c>
      <c r="G1146">
        <v>3.6</v>
      </c>
      <c r="H1146" s="18">
        <v>550</v>
      </c>
      <c r="I1146" t="s">
        <v>2339</v>
      </c>
    </row>
    <row r="1147" spans="1:9" x14ac:dyDescent="0.25">
      <c r="A1147" t="s">
        <v>1163</v>
      </c>
      <c r="B1147" t="s">
        <v>2315</v>
      </c>
      <c r="C1147" t="s">
        <v>413</v>
      </c>
      <c r="D1147">
        <v>199</v>
      </c>
      <c r="E1147" s="9">
        <v>999</v>
      </c>
      <c r="F1147">
        <v>80</v>
      </c>
      <c r="G1147">
        <v>3.1</v>
      </c>
      <c r="H1147" s="18">
        <v>2</v>
      </c>
      <c r="I1147" t="s">
        <v>2336</v>
      </c>
    </row>
    <row r="1148" spans="1:9" x14ac:dyDescent="0.25">
      <c r="A1148" t="s">
        <v>1164</v>
      </c>
      <c r="B1148" t="s">
        <v>2316</v>
      </c>
      <c r="C1148" t="s">
        <v>413</v>
      </c>
      <c r="D1148">
        <v>379</v>
      </c>
      <c r="E1148" s="9">
        <v>919</v>
      </c>
      <c r="F1148">
        <v>59</v>
      </c>
      <c r="G1148">
        <v>4</v>
      </c>
      <c r="H1148" s="18">
        <v>1090</v>
      </c>
      <c r="I1148" t="s">
        <v>2336</v>
      </c>
    </row>
    <row r="1149" spans="1:9" x14ac:dyDescent="0.25">
      <c r="A1149" t="s">
        <v>1165</v>
      </c>
      <c r="B1149" t="s">
        <v>2317</v>
      </c>
      <c r="C1149" t="s">
        <v>413</v>
      </c>
      <c r="D1149">
        <v>2280</v>
      </c>
      <c r="E1149" s="9">
        <v>3045</v>
      </c>
      <c r="F1149">
        <v>25</v>
      </c>
      <c r="G1149">
        <v>4.0999999999999996</v>
      </c>
      <c r="H1149" s="18">
        <v>4118</v>
      </c>
      <c r="I1149" t="s">
        <v>2339</v>
      </c>
    </row>
    <row r="1150" spans="1:9" x14ac:dyDescent="0.25">
      <c r="A1150" t="s">
        <v>1166</v>
      </c>
      <c r="B1150" t="s">
        <v>2318</v>
      </c>
      <c r="C1150" t="s">
        <v>413</v>
      </c>
      <c r="D1150">
        <v>2219</v>
      </c>
      <c r="E1150" s="9">
        <v>3080</v>
      </c>
      <c r="F1150">
        <v>28</v>
      </c>
      <c r="G1150">
        <v>3.6</v>
      </c>
      <c r="H1150" s="18">
        <v>468</v>
      </c>
      <c r="I1150" t="s">
        <v>2339</v>
      </c>
    </row>
    <row r="1151" spans="1:9" x14ac:dyDescent="0.25">
      <c r="A1151" t="s">
        <v>1167</v>
      </c>
      <c r="B1151" t="s">
        <v>2319</v>
      </c>
      <c r="C1151" t="s">
        <v>413</v>
      </c>
      <c r="D1151">
        <v>1399</v>
      </c>
      <c r="E1151" s="9">
        <v>1890</v>
      </c>
      <c r="F1151">
        <v>26</v>
      </c>
      <c r="G1151">
        <v>4</v>
      </c>
      <c r="H1151" s="18">
        <v>8031</v>
      </c>
      <c r="I1151" t="s">
        <v>2336</v>
      </c>
    </row>
    <row r="1152" spans="1:9" x14ac:dyDescent="0.25">
      <c r="A1152" t="s">
        <v>1168</v>
      </c>
      <c r="B1152" t="s">
        <v>2320</v>
      </c>
      <c r="C1152" t="s">
        <v>413</v>
      </c>
      <c r="D1152">
        <v>2863</v>
      </c>
      <c r="E1152" s="9">
        <v>3690</v>
      </c>
      <c r="F1152">
        <v>22</v>
      </c>
      <c r="G1152">
        <v>4.3</v>
      </c>
      <c r="H1152" s="18">
        <v>6987</v>
      </c>
      <c r="I1152" t="s">
        <v>2339</v>
      </c>
    </row>
  </sheetData>
  <sheetProtection algorithmName="SHA-512" hashValue="sk37HASfvznNOBJsQRchQproRAvrPPuQyYZ11M6WuA7bjvEQnkfBrH4Bg0+zyOxQrYpKHFJhlAiW6tGGt5/EDg==" saltValue="bSedpXYTUMn+2Pq50RjIAQ=="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64E501B-884D-4AF6-B22E-4159AAB8CFDB}">
  <ds:schemaRefs/>
</ds:datastoreItem>
</file>

<file path=customXml/itemProps2.xml><?xml version="1.0" encoding="utf-8"?>
<ds:datastoreItem xmlns:ds="http://schemas.openxmlformats.org/officeDocument/2006/customXml" ds:itemID="{B111EE4F-276A-4B11-8EA9-D5C0D4F7A96B}">
  <ds:schemaRefs/>
</ds:datastoreItem>
</file>

<file path=customXml/itemProps3.xml><?xml version="1.0" encoding="utf-8"?>
<ds:datastoreItem xmlns:ds="http://schemas.openxmlformats.org/officeDocument/2006/customXml" ds:itemID="{EFD220C6-2BB5-4B95-845E-AB6D94CB06E6}">
  <ds:schemaRefs/>
</ds:datastoreItem>
</file>

<file path=customXml/itemProps4.xml><?xml version="1.0" encoding="utf-8"?>
<ds:datastoreItem xmlns:ds="http://schemas.openxmlformats.org/officeDocument/2006/customXml" ds:itemID="{59F51AAC-2A4D-4046-AFA9-4F9D2708D3DD}">
  <ds:schemaRefs/>
</ds:datastoreItem>
</file>

<file path=customXml/itemProps5.xml><?xml version="1.0" encoding="utf-8"?>
<ds:datastoreItem xmlns:ds="http://schemas.openxmlformats.org/officeDocument/2006/customXml" ds:itemID="{5C2A55BA-D1E4-44DE-8BAF-CAF543BE1422}">
  <ds:schemaRefs/>
</ds:datastoreItem>
</file>

<file path=customXml/itemProps6.xml><?xml version="1.0" encoding="utf-8"?>
<ds:datastoreItem xmlns:ds="http://schemas.openxmlformats.org/officeDocument/2006/customXml" ds:itemID="{31AEBE56-6E4E-41F7-BAE2-3B6A5D3925C4}">
  <ds:schemaRefs/>
</ds:datastoreItem>
</file>

<file path=customXml/itemProps7.xml><?xml version="1.0" encoding="utf-8"?>
<ds:datastoreItem xmlns:ds="http://schemas.openxmlformats.org/officeDocument/2006/customXml" ds:itemID="{1431EDD0-633C-458F-821E-E46A28749967}">
  <ds:schemaRefs/>
</ds:datastoreItem>
</file>

<file path=customXml/itemProps8.xml><?xml version="1.0" encoding="utf-8"?>
<ds:datastoreItem xmlns:ds="http://schemas.openxmlformats.org/officeDocument/2006/customXml" ds:itemID="{49368859-3A88-4E66-A794-5427D8E34717}">
  <ds:schemaRefs/>
</ds:datastoreItem>
</file>

<file path=customXml/itemProps9.xml><?xml version="1.0" encoding="utf-8"?>
<ds:datastoreItem xmlns:ds="http://schemas.openxmlformats.org/officeDocument/2006/customXml" ds:itemID="{27BE2F2A-DF36-47D8-849A-ED46E707F55C}">
  <ds:schemaRefs/>
</ds:datastoreItem>
</file>

<file path=customXml/itemProps10.xml><?xml version="1.0" encoding="utf-8"?>
<ds:datastoreItem xmlns:ds="http://schemas.openxmlformats.org/officeDocument/2006/customXml" ds:itemID="{51C58BB6-ACAA-43B7-AB50-884CFCCEF7BE}">
  <ds:schemaRefs/>
</ds:datastoreItem>
</file>

<file path=customXml/itemProps11.xml><?xml version="1.0" encoding="utf-8"?>
<ds:datastoreItem xmlns:ds="http://schemas.openxmlformats.org/officeDocument/2006/customXml" ds:itemID="{0406C327-B1DA-4BAC-8D1B-8FAE25205C53}">
  <ds:schemaRefs/>
</ds:datastoreItem>
</file>

<file path=customXml/itemProps12.xml><?xml version="1.0" encoding="utf-8"?>
<ds:datastoreItem xmlns:ds="http://schemas.openxmlformats.org/officeDocument/2006/customXml" ds:itemID="{D08EFAD5-6283-4290-84EE-9A6DE2AB4D95}">
  <ds:schemaRefs/>
</ds:datastoreItem>
</file>

<file path=customXml/itemProps13.xml><?xml version="1.0" encoding="utf-8"?>
<ds:datastoreItem xmlns:ds="http://schemas.openxmlformats.org/officeDocument/2006/customXml" ds:itemID="{5A8EFE6A-1ECA-4CA8-A028-24D478E83E61}">
  <ds:schemaRefs/>
</ds:datastoreItem>
</file>

<file path=customXml/itemProps14.xml><?xml version="1.0" encoding="utf-8"?>
<ds:datastoreItem xmlns:ds="http://schemas.openxmlformats.org/officeDocument/2006/customXml" ds:itemID="{C028E906-2D37-4D6F-8016-66535DD3649F}">
  <ds:schemaRefs/>
</ds:datastoreItem>
</file>

<file path=customXml/itemProps15.xml><?xml version="1.0" encoding="utf-8"?>
<ds:datastoreItem xmlns:ds="http://schemas.openxmlformats.org/officeDocument/2006/customXml" ds:itemID="{D3EACCE0-D14E-4F4F-9D09-48B3D9D35F91}">
  <ds:schemaRefs/>
</ds:datastoreItem>
</file>

<file path=customXml/itemProps16.xml><?xml version="1.0" encoding="utf-8"?>
<ds:datastoreItem xmlns:ds="http://schemas.openxmlformats.org/officeDocument/2006/customXml" ds:itemID="{4B5FEDF9-5B0D-42C1-9DD4-3BD18A9D297F}">
  <ds:schemaRefs/>
</ds:datastoreItem>
</file>

<file path=customXml/itemProps17.xml><?xml version="1.0" encoding="utf-8"?>
<ds:datastoreItem xmlns:ds="http://schemas.openxmlformats.org/officeDocument/2006/customXml" ds:itemID="{7FAC79B0-0B7A-470D-A78C-A54FCB3467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Insights</vt:lpstr>
      <vt:lpstr>kpis</vt:lpstr>
      <vt:lpstr>charts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2026-06-10T13:45:42Z</dcterms:created>
  <dcterms:modified xsi:type="dcterms:W3CDTF">2026-06-16T18:25:08Z</dcterms:modified>
</cp:coreProperties>
</file>